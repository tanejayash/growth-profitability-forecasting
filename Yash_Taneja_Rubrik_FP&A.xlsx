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nej\Desktop\job projects\Rubrik\"/>
    </mc:Choice>
  </mc:AlternateContent>
  <xr:revisionPtr revIDLastSave="0" documentId="13_ncr:1_{D8ED05BD-48A9-46F1-B67A-CFD734949AAA}" xr6:coauthVersionLast="47" xr6:coauthVersionMax="47" xr10:uidLastSave="{00000000-0000-0000-0000-000000000000}"/>
  <bookViews>
    <workbookView xWindow="-110" yWindow="-110" windowWidth="25820" windowHeight="13900" firstSheet="3" activeTab="8" xr2:uid="{00000000-000D-0000-FFFF-FFFF00000000}"/>
  </bookViews>
  <sheets>
    <sheet name="Chart1_Revenue" sheetId="7" r:id="rId1"/>
    <sheet name="Chart2_ArrVsRev" sheetId="8" r:id="rId2"/>
    <sheet name="Chart3_Gaap_NonGaap" sheetId="9" r:id="rId3"/>
    <sheet name="Chart4_FCF" sheetId="10" r:id="rId4"/>
    <sheet name="Chart5_OpEx_Lever" sheetId="11" r:id="rId5"/>
    <sheet name="Master_Data" sheetId="1" r:id="rId6"/>
    <sheet name="Variance_Analysis" sheetId="2" r:id="rId7"/>
    <sheet name="Assumptions" sheetId="3" r:id="rId8"/>
    <sheet name="Charts" sheetId="4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D21" i="2"/>
  <c r="E20" i="2"/>
  <c r="D20" i="2"/>
  <c r="E19" i="2"/>
  <c r="D19" i="2"/>
  <c r="E18" i="2"/>
  <c r="D18" i="2"/>
  <c r="E17" i="2"/>
  <c r="D17" i="2"/>
  <c r="E16" i="2"/>
  <c r="D16" i="2"/>
  <c r="E15" i="2"/>
  <c r="D15" i="2"/>
  <c r="E11" i="2"/>
  <c r="D11" i="2"/>
  <c r="E10" i="2"/>
  <c r="D10" i="2"/>
  <c r="E9" i="2"/>
  <c r="D9" i="2"/>
  <c r="E4" i="2"/>
  <c r="E5" i="2"/>
  <c r="E6" i="2"/>
  <c r="E7" i="2"/>
  <c r="E8" i="2"/>
  <c r="E3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<sst xmlns="http://schemas.openxmlformats.org/spreadsheetml/2006/main" count="423" uniqueCount="341">
  <si>
    <t>Period</t>
  </si>
  <si>
    <t>Quarter_End_Date</t>
  </si>
  <si>
    <t>Subscription_ARR_Millions</t>
  </si>
  <si>
    <t>ARR_YoY_Growth_Percent</t>
  </si>
  <si>
    <t>Total_Revenue_Millions</t>
  </si>
  <si>
    <t>Subscription_Revenue_Millions</t>
  </si>
  <si>
    <t>Revenue_YoY_Growth_Percent</t>
  </si>
  <si>
    <t>GAAP_Gross_Margin_Percent</t>
  </si>
  <si>
    <t>Non_GAAP_Gross_Margin_Percent</t>
  </si>
  <si>
    <t>Total_OpEx_Millions</t>
  </si>
  <si>
    <t>SBC_Expense_Millions</t>
  </si>
  <si>
    <t>GAAP_Net_Loss_Per_Share</t>
  </si>
  <si>
    <t>Non_GAAP_Net_Income_Per_Share</t>
  </si>
  <si>
    <t>Free_Cash_Flow_Millions</t>
  </si>
  <si>
    <t>FCF_Margin_Percent</t>
  </si>
  <si>
    <t>Customers_Over_100K_ARR</t>
  </si>
  <si>
    <t>Net_Revenue_Retention_Percent</t>
  </si>
  <si>
    <t>Cash_and_Equivalents_Millions</t>
  </si>
  <si>
    <t>Data_Source</t>
  </si>
  <si>
    <t>Notes</t>
  </si>
  <si>
    <t>Q4 FY25</t>
  </si>
  <si>
    <t>10-K</t>
  </si>
  <si>
    <t>Q1 FY26</t>
  </si>
  <si>
    <t>N/A</t>
  </si>
  <si>
    <t>10-Q</t>
  </si>
  <si>
    <t>Q2 FY26</t>
  </si>
  <si>
    <t>Q3 FY26</t>
  </si>
  <si>
    <t xml:space="preserve"> </t>
  </si>
  <si>
    <t>QOQ VARIANCE ANALYSIS (Q2 FY2026 vs Q3 FY2026)</t>
  </si>
  <si>
    <t>Metric</t>
  </si>
  <si>
    <t>Q2 FY2026</t>
  </si>
  <si>
    <t>Q3 FY2026</t>
  </si>
  <si>
    <t>$ Change</t>
  </si>
  <si>
    <t>% Change</t>
  </si>
  <si>
    <t>Status</t>
  </si>
  <si>
    <t>Explanation</t>
  </si>
  <si>
    <t>Subscription ARR (Millions)</t>
  </si>
  <si>
    <t>Growing</t>
  </si>
  <si>
    <t>ARR grew $100M QoQ, continuing the steady ~$50-100M quarterly adds pattern. Growth rate consistent with historical trend. No acceleration or deceleration signal.</t>
  </si>
  <si>
    <t>Total Revenue (Millions)</t>
  </si>
  <si>
    <t>Accelerating</t>
  </si>
  <si>
    <t>Revenue jumped +$40.3M QoQ (+13.0%), significantly above typical 8-10% sequential growth. Indicates backlog deployment accelerating. Fast turnover of signed contracts into deployed revenue. Positive for execution, but creates forecasting risk if backlog depletes faster than new ARR books.</t>
  </si>
  <si>
    <t>GAAP Gross Margin %</t>
  </si>
  <si>
    <t>Consistent</t>
  </si>
  <si>
    <t>Gross margin expanded 170 bps sequentially (78.8% to 80.5%), continuing the multi-quarter improvement trend. Operating leverage evident as COGS grows slower than revenue. This is sustainable trend: hosting costs are commoditizing while revenue scales.</t>
  </si>
  <si>
    <t>Non-GAAP Gross Margin %</t>
  </si>
  <si>
    <t>Improving</t>
  </si>
  <si>
    <t>Core business margin at 82.8% shows strong unit economics. Non-GAAP tells cleaner story than GAAP which is obscured by SBC noise. Consistency across quarters shows sustainability. Core product margin is world-class for SaaS.</t>
  </si>
  <si>
    <t>Total Operating Expenses (Millions)</t>
  </si>
  <si>
    <t>Controlled</t>
  </si>
  <si>
    <t>OpEx increased $28.0M QoQ (+6.2%), but growth rate is HALF the revenue growth rate (13%). This demonstrates operating leverage kicking in. As company scales, OpEx is growing slower. This is the pattern you want to see in a maturing SaaS company.</t>
  </si>
  <si>
    <t>SBC Expense (Millions)</t>
  </si>
  <si>
    <t>Watch</t>
  </si>
  <si>
    <t>SBC increased $4.4M QoQ, but growth rate slowing (+5.6% vs +7.3% prior quarter). Suggests post-IPO RSU vesting is beginning to plateau. Positive trend for reducing dilution. However, volatility risk remains depending on stock price movements and employee attrition. Continue monitoring.</t>
  </si>
  <si>
    <t>Free Cash Flow (Millions)</t>
  </si>
  <si>
    <t>INFLECTION</t>
  </si>
  <si>
    <t>Free cash flow surged $19.4M QoQ (+33.7%). Most important metric in this analysis. Represents watershed moment: company has transitioned from cash-burning growth company to cash-generative business. This provides strategic flexibility for M&amp;A, buybacks, R&amp;D acceleration, or geographic expansion.</t>
  </si>
  <si>
    <t>FCF Margin %</t>
  </si>
  <si>
    <t>Strong</t>
  </si>
  <si>
    <t>Net Revenue Retention %</t>
  </si>
  <si>
    <t>NRR improved 200 bps to 122%, meaning existing customers expanding by 22% annually. This is one of the strongest NRR rates in SaaS security. Combined with 27% new customer growth, creates powerful "double whammy" growth engine. Sustainability of 120%+ NRR is critical for long-term ARR growth even if bookings slow.</t>
  </si>
  <si>
    <t>YOY VARIANCE ANALYSIS (Q3 FY2025 vs Q3 FY2026)</t>
  </si>
  <si>
    <t>Q3 FY2025</t>
  </si>
  <si>
    <t>ACCELERATION</t>
  </si>
  <si>
    <t>Revenue growth of 48% YoY is exceptional and ACCELERATING. Q4 was only 22% growth, Q1 was 25%, Q2 was 31%, Q3 was 48%. This upward trend is unusual for a company at this scale and suggests strong product-market fit + backlog deployment. This is the headline finding: revenue acceleration is real and accelerating.</t>
  </si>
  <si>
    <t>Growing (slower than revenue)</t>
  </si>
  <si>
    <t>ARR growth of 34% YoY is solid but SLOWER than revenue growth of 48%. This 14-point gap signals that revenue is coming from existing backlog (fast deployment) rather than proportionally from new bookings. Signal: Backlog being worked down. Implication: Need to monitor new booking velocity to ensure Q4-Q1 revenue doesn't cliff.</t>
  </si>
  <si>
    <t>Healthy improvement</t>
  </si>
  <si>
    <t>Gross margin expanded 430 basis points YoY (76.2% to 80.5%), demonstrating clear operating leverage. As revenue scales, cost of goods sold (hosting, storage, support) grows slower. This is sustainable trend. Non-GAAP margins even higher at 82.8% shows core business unit economics are world-class. Path to 85%+ margin is visible.</t>
  </si>
  <si>
    <t>Total OpEx (Millions)</t>
  </si>
  <si>
    <t>Controlled growth</t>
  </si>
  <si>
    <t>OpEx grew 39.1% YoY while revenue grew 48%. This shows OpEx growing slower than revenue = operating leverage. OpEx as % of revenue improved from 145% to 136.5% (850 bps improvement). This is the right pattern: absolute OpEx growing to fund growth, but at a slower rate than revenue.</t>
  </si>
  <si>
    <t>Growing faster than revenue</t>
  </si>
  <si>
    <t>SBC grew 22.8% YoY while revenue grew 48%. SBC as % of revenue declining (26.1% to 23.6%) which is positive. Post-IPO "double-trigger" vesting largely complete. Ongoing risk: SBC volatility depends on stock price (lower stock price = more shares needed to retain talent = higher dilution).</t>
  </si>
  <si>
    <t>WATERSHED</t>
  </si>
  <si>
    <t>Free cash flow surged 325% YoY ($18M to $77M). This is the MOST IMPORTANT development in this analysis. Company has transitioned from cash-burning growth company to sustainable cash-generation. This is not a one-time benefit: working capital improvements + operating leverage are structural. Enables strategic capital allocation for M&amp;A, buybacks, R&amp;D acceleration.</t>
  </si>
  <si>
    <t>Improving, trend is strong</t>
  </si>
  <si>
    <t>NRR improved 400 bps from 118% to 122%. This shows expansion engine is accelerating. Customers expanding by 22% annually is phenomenal for enterprise software. Land-and-expand strategy working well. New AI products (Agent Cloud) could drive even higher expansion rates. Sustainability of 120%+ NRR is critical assumption for long-term growth.</t>
  </si>
  <si>
    <t>DATA SOURCES &amp; CALCULATION NOTES</t>
  </si>
  <si>
    <t>QoQ Data: From Master_Data tab, comparing adjacent quarters (Q2 vs Q3) YoY Data: Q3 FY2026 from SEC 10-Q (filed Dec 8, 2025); Q3 FY2025 calculated using disclosed YoY growth rates All growth rates from official company disclosures in SEC filings Margin calculations: Revenue from SEC filings, expense data from consolidated statements of operations NRR: Company disclosed metrics from earnings reports</t>
  </si>
  <si>
    <t>Data Confidence: 100% for Q3 FY2026 (SEC filed)</t>
  </si>
  <si>
    <t>Q3 FY2025 estimates calculated from YoY growth rates: 95-100% accuracy</t>
  </si>
  <si>
    <t>Chart 1: Revenue Growth Acceleration</t>
  </si>
  <si>
    <t>Chart 2: ARR vs Revenue Divergence</t>
  </si>
  <si>
    <t>Chart 3: GAAP/Non-GAAP Profitability Gap</t>
  </si>
  <si>
    <t>Chart 4: Free Cash Flow Inflection</t>
  </si>
  <si>
    <t>Chart 5: Operating Leverage Emerging</t>
  </si>
  <si>
    <t>SECTION 1: DATA SOURCES REGISTRY</t>
  </si>
  <si>
    <t>Data Point</t>
  </si>
  <si>
    <t>Source</t>
  </si>
  <si>
    <t>Timeframe</t>
  </si>
  <si>
    <t>Confidence</t>
  </si>
  <si>
    <t>Directly from SEC filing; audited by external accountants</t>
  </si>
  <si>
    <t>GAAP revenue from income statement; audited</t>
  </si>
  <si>
    <t>Calculated from (Revenue - COGS) / Revenue</t>
  </si>
  <si>
    <t>Company-provided non-GAAP metric in 10-Q</t>
  </si>
  <si>
    <t>Total Operating Expenses</t>
  </si>
  <si>
    <t>Sum of R&amp;D + S&amp;M + G&amp;A from income statement</t>
  </si>
  <si>
    <t>Line item in expense breakdown; non-cash charge</t>
  </si>
  <si>
    <t>Operating Cash Flow - CapEx; from cash flow statement</t>
  </si>
  <si>
    <t>Calculated</t>
  </si>
  <si>
    <t>FCF / Revenue * 100; all data from 10-Q</t>
  </si>
  <si>
    <t>Company-provided metric in earnings call / 10-Q</t>
  </si>
  <si>
    <t>Revenue YoY Growth %</t>
  </si>
  <si>
    <t>ARR YoY Growth %</t>
  </si>
  <si>
    <t>Q3 FY25 calculated from growth rate disclosure in 10-Q</t>
  </si>
  <si>
    <t>Q3 FY2025 Financial Metrics</t>
  </si>
  <si>
    <t>Estimated from growth rates</t>
  </si>
  <si>
    <t>Back-calculated from disclosed YoY growth percentages in 10-Q</t>
  </si>
  <si>
    <t>Customer Count</t>
  </si>
  <si>
    <t>Approximate from disclosure; company rounds to nearest 1</t>
  </si>
  <si>
    <t>R&amp;D Expense</t>
  </si>
  <si>
    <t>Line item in operating expenses</t>
  </si>
  <si>
    <t>S&amp;M Expense</t>
  </si>
  <si>
    <t>G&amp;A Expense</t>
  </si>
  <si>
    <t>EPS - GAAP</t>
  </si>
  <si>
    <t>Basic and diluted EPS from income statement</t>
  </si>
  <si>
    <t>EPS - Non-GAAP</t>
  </si>
  <si>
    <t>Company-provided non-GAAP EPS in 10-Q</t>
  </si>
  <si>
    <t>Deferred Revenue</t>
  </si>
  <si>
    <t>Balance sheet line item; future revenue already collected</t>
  </si>
  <si>
    <t>CapEx</t>
  </si>
  <si>
    <t>Capital expenditures from cash flow statement</t>
  </si>
  <si>
    <t>SECTION 2: CALCULATION METHODOLOGY</t>
  </si>
  <si>
    <t>Variance Analysis Formulas</t>
  </si>
  <si>
    <t>QoQ Formula</t>
  </si>
  <si>
    <t>YoY Formula</t>
  </si>
  <si>
    <t>$ Change (QoQ)</t>
  </si>
  <si>
    <t>Current Quarter - Prior Quarter</t>
  </si>
  <si>
    <t>Current Year - Prior Year</t>
  </si>
  <si>
    <t>Simple subtraction; shows absolute dollar change</t>
  </si>
  <si>
    <t>% Change (QoQ)</t>
  </si>
  <si>
    <t>($ Change / Prior Quarter) * 100</t>
  </si>
  <si>
    <t>($ Change / Prior Year) * 100</t>
  </si>
  <si>
    <t>Percentage change formula; allows comparison across different metric scales</t>
  </si>
  <si>
    <t>ARR Growth Rate</t>
  </si>
  <si>
    <t>(Current Quarter ARR - Prior Quarter ARR) / Prior Quarter ARR * 100</t>
  </si>
  <si>
    <t>(Current Year ARR - Prior Year ARR) / Prior Year ARR * 100</t>
  </si>
  <si>
    <t>Shows organic growth in bookings</t>
  </si>
  <si>
    <t>Revenue Growth Rate</t>
  </si>
  <si>
    <t>(Current Revenue - Prior Revenue) / Prior Revenue * 100</t>
  </si>
  <si>
    <t>Includes both new and existing customer revenue</t>
  </si>
  <si>
    <t>Gross Margin %</t>
  </si>
  <si>
    <t>(Revenue - COGS) / Revenue * 100</t>
  </si>
  <si>
    <t>Standard SaaS profitability metric; target is 75%+</t>
  </si>
  <si>
    <t>OpEx / Revenue %</t>
  </si>
  <si>
    <t>Total OpEx / Total Revenue * 100</t>
  </si>
  <si>
    <t>Operating efficiency metric; lower is better as company scales</t>
  </si>
  <si>
    <t>(Operating Cash Flow - CapEx) / Revenue * 100</t>
  </si>
  <si>
    <t>Cash generation efficiency; shows sustainability</t>
  </si>
  <si>
    <t>NRR %</t>
  </si>
  <si>
    <t>(Existing Customer Revenue Expansion) / (Prior Year Same Customers Revenue) * 100</t>
  </si>
  <si>
    <t>N/A - annual metric</t>
  </si>
  <si>
    <t>Measures expansion within existing customer base; 120%+ is excellent</t>
  </si>
  <si>
    <t>SBC as % Revenue</t>
  </si>
  <si>
    <t>SBC Expense / Total Revenue * 100</t>
  </si>
  <si>
    <t>Shows dilution impact; declining % is positive sign</t>
  </si>
  <si>
    <t>EPS Calculation (GAAP)</t>
  </si>
  <si>
    <t>Net Income (Loss) / Weighted Avg Shares Outstanding</t>
  </si>
  <si>
    <t>Audited earnings per share including all charges</t>
  </si>
  <si>
    <t>EPS Calculation (Non-GAAP)</t>
  </si>
  <si>
    <t>Adjusted Net Income / Weighted Avg Shares Outstanding</t>
  </si>
  <si>
    <t>Excludes stock-based compensation (non-cash)</t>
  </si>
  <si>
    <t>Estimation Method</t>
  </si>
  <si>
    <t>Calculation</t>
  </si>
  <si>
    <t>Q3 FY2025 Revenue</t>
  </si>
  <si>
    <t>Back-calculation from disclosed growth rate</t>
  </si>
  <si>
    <t>Q3 FY26 Revenue / (1 + YoY Growth Rate %)</t>
  </si>
  <si>
    <t>95% - assumes growth rate accurate</t>
  </si>
  <si>
    <t>Q3 FY2025 ARR</t>
  </si>
  <si>
    <t>Q3 FY26 ARR / (1 + YoY Growth Rate %)</t>
  </si>
  <si>
    <t>Q3 FY2025 Gross Margin</t>
  </si>
  <si>
    <t>85% - margin may have improved YoY</t>
  </si>
  <si>
    <t>Q3 FY2025 OpEx</t>
  </si>
  <si>
    <t>Q3 FY26 OpEx / (1 + YoY growth %)</t>
  </si>
  <si>
    <t>90% - function growth but actual may differ</t>
  </si>
  <si>
    <t>Q3 FY2025 FCF</t>
  </si>
  <si>
    <t>Back-calculation from growth rates</t>
  </si>
  <si>
    <t>Q3 FY26 FCF / (1 + Growth Rate %)</t>
  </si>
  <si>
    <t>85% - depends on working capital assumptions</t>
  </si>
  <si>
    <t>SECTION 3: KEY ASSUMPTIONS &amp; SENSITIVITIES</t>
  </si>
  <si>
    <t>Core Assumptions</t>
  </si>
  <si>
    <t>Assumption</t>
  </si>
  <si>
    <t>Revenue Growth Rate (Continuous)</t>
  </si>
  <si>
    <t>ARR Expansion (NRR)</t>
  </si>
  <si>
    <t>Gross Margin Stability</t>
  </si>
  <si>
    <t>Operating Leverage</t>
  </si>
  <si>
    <t>FCF Conversion</t>
  </si>
  <si>
    <t>Backlog Deployment</t>
  </si>
  <si>
    <t>SBC Dilution</t>
  </si>
  <si>
    <t>Customer CAC Payback Period</t>
  </si>
  <si>
    <t>Churn Rate</t>
  </si>
  <si>
    <t>India Expansion Impact</t>
  </si>
  <si>
    <t>AI Agent Cloud Adoption</t>
  </si>
  <si>
    <t>Current Value</t>
  </si>
  <si>
    <t>30%+ annually</t>
  </si>
  <si>
    <t>122% annually</t>
  </si>
  <si>
    <t>80%+</t>
  </si>
  <si>
    <t>OpEx growing at 50-75% of revenue growth rate</t>
  </si>
  <si>
    <t>20%+ margin sustainable</t>
  </si>
  <si>
    <t>30% quarterly burn rate</t>
  </si>
  <si>
    <t>Declining to 20% of revenue by FY27</t>
  </si>
  <si>
    <t>12-18 months</t>
  </si>
  <si>
    <t>&lt;5% annually for Enterprise</t>
  </si>
  <si>
    <t>$15-20M annual OpEx at full scale</t>
  </si>
  <si>
    <t>15-25% customer base by end FY27</t>
  </si>
  <si>
    <t>Rationale</t>
  </si>
  <si>
    <t>Mature SaaS companies show this pattern as fixed costs (finance</t>
  </si>
  <si>
    <t>Working capital benefits (deferred revenue) + operating leverage produce FCF margins. Post-IPO companies show this.</t>
  </si>
  <si>
    <t>Revenue 14 points above ARR signals aggressive deployment. Historical patterns from SaaS companies suggest 25-35% quarterly.</t>
  </si>
  <si>
    <t>Post-IPO vesting schedules moderate over 4 years. New hire SBC declining as % of revenue due to size.</t>
  </si>
  <si>
    <t>Enterprise sales cycles 6-9 months; payback on CAC typically 12-18 months post-deployment</t>
  </si>
  <si>
    <t>New geography typically 2-3 year ramp to profitability. India talent pool large; wage inflation modest (5-8% annually).</t>
  </si>
  <si>
    <t>New product categories take 3-5 years to reach penetration. Early traction is often 10-20% of customer base.</t>
  </si>
  <si>
    <t>Sensitivity</t>
  </si>
  <si>
    <t>High</t>
  </si>
  <si>
    <t>Medium</t>
  </si>
  <si>
    <t xml:space="preserve"> legal</t>
  </si>
  <si>
    <t>Low-Medium</t>
  </si>
  <si>
    <t>Impact if Wrong</t>
  </si>
  <si>
    <t>If growth slows below 20%, path to profitability extends 2-3 quarters. Stock valuation typically applies "Rule of 40" (Growth % + FCF Margin %); slower growth = lower multiple</t>
  </si>
  <si>
    <t>If NRR drops below 110%, organic growth becomes dependent on new customer acquisition. Expansion revenue is lowest-CAC growth channel</t>
  </si>
  <si>
    <t>If GPU-intensive AI inference becomes standard offering, margins compress. Agent Cloud COGS structure is unknown; could be 70% vs 80%+</t>
  </si>
  <si>
    <t>If company hires aggressively (India expansion), OpEx could grow 80%+ of revenue. Delays profitability timeline</t>
  </si>
  <si>
    <t>If working capital deteriorates (customer payment terms extend), FCF margin could drop to 12-15%. Still positive but less impressive</t>
  </si>
  <si>
    <t>If deployment accelerates (35%+), Q4-Q1 revenue cliffs sharply. If slows (20%), misses growth targets but backlog provides runway</t>
  </si>
  <si>
    <t>If attrition stays high (15%+), new hire SBC accelerates. If stock price drops 50%, more shares needed = higher dilution. Could delay GAAP profitability</t>
  </si>
  <si>
    <t>If CAC payback extends beyond 24 months, S&amp;M efficiency declines. Would signal market saturation or pricing pressure</t>
  </si>
  <si>
    <t>If churn rises above 10%, revenue decline despite NRR. Would signal product-market concerns or competitive pressure</t>
  </si>
  <si>
    <t>If wage inflation accelerates (12%+) or hiring needs increase, OpEx grows faster. Delays overall leverage</t>
  </si>
  <si>
    <t>If adoption slower (5%), margin impact minimal. If faster (40%+), could compress overall gross margin if COGS high. Upside or downside risk unknown</t>
  </si>
  <si>
    <t>SECTION 4: DATA CONFIDENCE LEVELS &amp; LIMITATIONS</t>
  </si>
  <si>
    <t>Confidence Level</t>
  </si>
  <si>
    <t>Reason</t>
  </si>
  <si>
    <t>Limitations</t>
  </si>
  <si>
    <t>Direct from audited 10-Q filings</t>
  </si>
  <si>
    <t>None; SEC-audited numbers are most reliable source</t>
  </si>
  <si>
    <t>Subscription ARR</t>
  </si>
  <si>
    <t>Directly disclosed in 10-Q; company metric</t>
  </si>
  <si>
    <t>Company may adjust definition over time; verify against 10-Q</t>
  </si>
  <si>
    <t>Gross Margin (GAAP)</t>
  </si>
  <si>
    <t>Calculated from audited income statement data</t>
  </si>
  <si>
    <t>None; calculation is straightforward</t>
  </si>
  <si>
    <t>Operating Expenses (All categories)</t>
  </si>
  <si>
    <t>Line items from audited income statement</t>
  </si>
  <si>
    <t>SBC non-cash so less relevant to cash operations</t>
  </si>
  <si>
    <t>Free Cash Flow</t>
  </si>
  <si>
    <t>Calculated from audited cash flow statement</t>
  </si>
  <si>
    <t>None; all underlying data audited</t>
  </si>
  <si>
    <t>Net Revenue Retention</t>
  </si>
  <si>
    <t>Company-provided metric in 10-Q &amp; earnings call</t>
  </si>
  <si>
    <t>Company may adjust definition slightly; assumed consistent methodology</t>
  </si>
  <si>
    <t>ARR/Revenue YoY Growth % (Calculated)</t>
  </si>
  <si>
    <t>Back-calculated using disclosed growth rates</t>
  </si>
  <si>
    <t>Assumes growth rates stated in 10-Q are accurate; small rounding errors possible</t>
  </si>
  <si>
    <t>Q3 FY2025 Historical Data (Estimated)</t>
  </si>
  <si>
    <t>Back-calculated from growth rate disclosures</t>
  </si>
  <si>
    <t>Method assumes linear/consistent performance; actual FY25 may vary, but directional accuracy high</t>
  </si>
  <si>
    <t>EPS (GAAP &amp; Non-GAAP)</t>
  </si>
  <si>
    <t>From audited financial statements</t>
  </si>
  <si>
    <t>Estimated from disclosure; company rounds</t>
  </si>
  <si>
    <t>Company rounding to nearest 1,000 masks true customer count; useful for trend but not precise</t>
  </si>
  <si>
    <t>ARR per Customer</t>
  </si>
  <si>
    <t>Derived from Revenue / Customer Count</t>
  </si>
  <si>
    <t>Depends on accuracy of both underlying metrics; useful for trends</t>
  </si>
  <si>
    <t>Operating Leverage Calculations</t>
  </si>
  <si>
    <t>Based on audited actuals and growth assumptions</t>
  </si>
  <si>
    <t>Assumes trends continue; macro changes or strategic shifts could alter OpEx/Revenue relationship</t>
  </si>
  <si>
    <t>Forecasted Metrics (Backlogs, Deployments)</t>
  </si>
  <si>
    <t>Inferred from revenue/ARR divergence patterns</t>
  </si>
  <si>
    <t>Most uncertain; depends on continued deployment pace &amp; new bookings</t>
  </si>
  <si>
    <t>Profitability Timeline (2-3 quarters to GAAP profitable)</t>
  </si>
  <si>
    <t>Based on current OpEx/Revenue trend &amp; SBC assumptions</t>
  </si>
  <si>
    <t>Assumes consistent growth; slowdown extends timeline; acceleration shortens it</t>
  </si>
  <si>
    <t>SECTION 5: KNOWN LIMITATIONS &amp; IMPORTANT CAVEATS</t>
  </si>
  <si>
    <t>1. INCOMPLETE AI UNIT ECONOMICS</t>
  </si>
  <si>
    <t xml:space="preserve">   Impact: Gross margin expansion assumption may be at risk if AI inference costs are higher than expected.</t>
  </si>
  <si>
    <t xml:space="preserve">   Mitigation: Monitor quarterly 10-Q disclosures for margin by product line breakdowns.</t>
  </si>
  <si>
    <t>2. WORKING CAPITAL VOLATILITY NOT FULLY MODELED</t>
  </si>
  <si>
    <t xml:space="preserve">   Deferred revenue working capital benefit (major driver of FCF) depends on multi-year contracts.</t>
  </si>
  <si>
    <t xml:space="preserve">   Risk: If customers shift to shorter terms, working capital impact changes significantly.</t>
  </si>
  <si>
    <t xml:space="preserve">   Impact: FCF margin could compress from 21.9% to 15% if deferred revenue growth slows.</t>
  </si>
  <si>
    <t xml:space="preserve">   Mitigation: Track billings vs revenue trend; monitor contract terms in disclosures.</t>
  </si>
  <si>
    <t>3. BACKLOG DEPLOYMENT VISIBILITY LIMITED</t>
  </si>
  <si>
    <t xml:space="preserve">   Revenue &gt; ARR suggests rapid backlog deployment, but exact backlog size is not disclosed.</t>
  </si>
  <si>
    <t xml:space="preserve">   Risk: If backlog depletes faster than new bookings, revenue growth cliffs.</t>
  </si>
  <si>
    <t xml:space="preserve">   Impact: Q4-Q1 revenue could miss if backlog burns out prematurely.</t>
  </si>
  <si>
    <t xml:space="preserve">   Mitigation: Implement weekly Days of Backlog tracking (recommended in report).</t>
  </si>
  <si>
    <t>4. STOCK-BASED COMPENSATION VOLATILITY</t>
  </si>
  <si>
    <t xml:space="preserve">   SBC expense depends on: (a) stock price, (b) employee attrition, (c) vesting schedules.</t>
  </si>
  <si>
    <t xml:space="preserve">   Risk: 50% stock price drop → more shares needed for same comp → 30-40% increase in SBC expense.</t>
  </si>
  <si>
    <t xml:space="preserve">   Impact: EPS dilution accelerates; path to GAAP profitability extends 2-3 quarters.</t>
  </si>
  <si>
    <t xml:space="preserve">   Mitigation: Model SBC sensitivity to stock price and attrition (Phase 2 deliverable).</t>
  </si>
  <si>
    <t>5. INDIA EXPANSION EXECUTION RISK</t>
  </si>
  <si>
    <t xml:space="preserve">   Company is building large engineering presence in India (1,000+ headcount).</t>
  </si>
  <si>
    <t xml:space="preserve">   Risk: Wage inflation, hiring competition, retention could push OpEx higher than expected.</t>
  </si>
  <si>
    <t xml:space="preserve">   Impact: Operating leverage gains could be partially offset.</t>
  </si>
  <si>
    <t xml:space="preserve">   Mitigation: Monitor quarterly OpEx growth rates vs forecast assumptions.</t>
  </si>
  <si>
    <t>6. MACRO ECONOMIC SENSITIVITY</t>
  </si>
  <si>
    <t xml:space="preserve">   SaaS spending often sensitive to economic cycles; 2025-2026 recession risk is non-zero.</t>
  </si>
  <si>
    <t xml:space="preserve">   Risk: Customer slowdown → lower new bookings → ARR growth decelerates.</t>
  </si>
  <si>
    <t xml:space="preserve">   Impact: If ARR growth drops below 20%, valuation multiple compression likely.</t>
  </si>
  <si>
    <t xml:space="preserve">   Mitigation: Monitor leading indicators (pipeline, win rates, customer expansion).</t>
  </si>
  <si>
    <t>7. COMPETITIVE PRESSURE &amp; MARKET SHARE RISK</t>
  </si>
  <si>
    <t xml:space="preserve">   Risk: NRR declines if competitors offer bundled solutions at lower cost.</t>
  </si>
  <si>
    <t xml:space="preserve">   Impact: Long-term growth assumption (30%+) at risk.</t>
  </si>
  <si>
    <t xml:space="preserve">   Mitigation: Monitor NRR trends and win/loss analysis in quarterly earnings calls.</t>
  </si>
  <si>
    <t>8. AGENT CLOUD ADOPTION UNCERTAINTY</t>
  </si>
  <si>
    <t xml:space="preserve">   New product categories are unpredictable. Agent Cloud could be home run or slow adoption.</t>
  </si>
  <si>
    <t xml:space="preserve">   Risk: If adoption slow (5%), margin impact minimal but growth story weakens.</t>
  </si>
  <si>
    <t xml:space="preserve">   Impact: Revenue growth could decelerate if Agent Cloud expected to drive 20%+ of growth.</t>
  </si>
  <si>
    <t xml:space="preserve">   Mitigation: Track product adoption metrics once disclosed; validate with customer feedback.</t>
  </si>
  <si>
    <t>9. GEOGRAPHIC EXPANSION EXECUTION</t>
  </si>
  <si>
    <t xml:space="preserve">   Plans to expand in EMEA and APAC beyond India. International expansion has execution risks.</t>
  </si>
  <si>
    <t xml:space="preserve">   Risk: Slower go-to-market in new regions; higher CAC to build brand awareness.</t>
  </si>
  <si>
    <t xml:space="preserve">   Impact: S&amp;M OpEx could grow faster than expected; reduces operating leverage.</t>
  </si>
  <si>
    <t xml:space="preserve">   Mitigation: Monitor quarterly S&amp;M OpEx as % of revenue; track by geography once disclosed.</t>
  </si>
  <si>
    <t>10. HISTORICAL DATA ESTIMATION ERROR</t>
  </si>
  <si>
    <t xml:space="preserve">    Risk: Variance analysis comparison may be off by 2-3 percentage points.</t>
  </si>
  <si>
    <t xml:space="preserve">    Impact: Trends are directional but precise numbers have ±5% margin of error.</t>
  </si>
  <si>
    <t xml:space="preserve">    Mitigation: Use back-calculated data for trends only; actual FY25 data better once available.</t>
  </si>
  <si>
    <t>FINANCIAL ANALYSIS - SUPPORTING CHARTS</t>
  </si>
  <si>
    <t>FCF margin improved to 21.9% in Q3, exceptional for a 35%+ growth company. Typical SaaS companies target 10-15% FCF margin. The company is above that. Driven by working capital benefits (deferred revenue) + operating leverage. Sustainability depends on maintaining growth rate.</t>
  </si>
  <si>
    <t>Post-IPO SaaS companies at  's scale maintain 30%+ growth if product-market fit holds</t>
  </si>
  <si>
    <t>Enterprise software with land-and-expand model achieves 120%+ NRR;   historically at 118-122%</t>
  </si>
  <si>
    <t>Cloud hosting costs are commoditizing;   scales linearly with revenue. SaaS gross margins 75-85% are sustainable.</t>
  </si>
  <si>
    <t>Enterprise software churn 3-7%.  's mature customer base suggests &lt;5%.</t>
  </si>
  <si>
    <t>GAAP accurate; Non-GAAP definitions vary by company but  's is standard</t>
  </si>
  <si>
    <t xml:space="preserve">    's newest product, Agent Cloud, has pricing and COGS structure that is not fully disclosed.</t>
  </si>
  <si>
    <t xml:space="preserve">   Cybersecurity is highly competitive; new entrants (e.g., broader cloud security platforms) could erode  's market.</t>
  </si>
  <si>
    <t>Q3 FY2026 10-Q SEC Filing</t>
  </si>
  <si>
    <t>Q4 FY25 -Q3 FY26</t>
  </si>
  <si>
    <t>Q3 FY25 -Q3 FY26</t>
  </si>
  <si>
    <t>Q3 FY25 calculated from:Q3 FY26 Revenue / (1 +Q3 FY26 Growth Rate)</t>
  </si>
  <si>
    <t>Q3 FY2026 10-Q &amp; Earnings Call</t>
  </si>
  <si>
    <t>Estimation Methodology forQ3 FY2025 Data</t>
  </si>
  <si>
    <t>Assumes constant margin vsQ3 FY26</t>
  </si>
  <si>
    <t>Same asQ3 FY26</t>
  </si>
  <si>
    <t>Estimated fromQ3 FY26 less improvement</t>
  </si>
  <si>
    <t>Total Revenue (Q4 FY25 -Q3 FY26)</t>
  </si>
  <si>
    <t>Q3 FY2025 data is back-calculated, not actual. Small estimation errors possible.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</si>
</sst>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14" fontId="0" fillId="0" borderId="0" xfId="0" applyNumberFormat="1"/>
    <xf numFmtId="9" fontId="0" fillId="0" borderId="0" xfId="0" applyNumberFormat="1"/>
    <xf numFmtId="10" fontId="0" fillId="0" borderId="0" xfId="0" applyNumberFormat="1"/>
    <xf numFmtId="9" fontId="0" fillId="0" borderId="0" xfId="1" applyFont="1"/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0" fontId="0" fillId="0" borderId="0" xfId="0" applyAlignment="1">
      <alignment horizontal="center" vertical="center"/>
    </xf>
  </cellXfs>
  <cellStyles count="2">
    <cellStyle name="Normal" xfId="0" builtinId="0"/>
    <cellStyle name="Percent" xfId="1" builtinId="5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alcChain" Target="calcChain.xml"/><Relationship Id="rId3" Type="http://schemas.openxmlformats.org/officeDocument/2006/relationships/chartsheet" Target="chartsheets/sheet3.xml"/><Relationship Id="rId7" Type="http://schemas.openxmlformats.org/officeDocument/2006/relationships/worksheet" Target="worksheets/sheet2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chartsheet" Target="chartsheets/sheet5.xml"/><Relationship Id="rId10" Type="http://schemas.openxmlformats.org/officeDocument/2006/relationships/theme" Target="theme/theme1.xml"/><Relationship Id="rId4" Type="http://schemas.openxmlformats.org/officeDocument/2006/relationships/chartsheet" Target="chartsheets/sheet4.xml"/><Relationship Id="rId9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Revenue Growth Acceleration Signals Backlog Deployment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Master_Data!$E$1</c:f>
              <c:strCache>
                <c:ptCount val="1"/>
                <c:pt idx="0">
                  <c:v>Total_Revenue_Millions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Master_Data!$A$2:$A$5</c:f>
              <c:strCache>
                <c:ptCount val="4"/>
                <c:pt idx="0">
                  <c:v>Q4 FY25</c:v>
                </c:pt>
                <c:pt idx="1">
                  <c:v>Q1 FY26</c:v>
                </c:pt>
                <c:pt idx="2">
                  <c:v>Q2 FY26</c:v>
                </c:pt>
                <c:pt idx="3">
                  <c:v>Q3 FY26</c:v>
                </c:pt>
              </c:strCache>
            </c:strRef>
          </c:cat>
          <c:val>
            <c:numRef>
              <c:f>Master_Data!$E$2:$E$5</c:f>
              <c:numCache>
                <c:formatCode>General</c:formatCode>
                <c:ptCount val="4"/>
                <c:pt idx="0">
                  <c:v>258.10000000000002</c:v>
                </c:pt>
                <c:pt idx="1">
                  <c:v>278.5</c:v>
                </c:pt>
                <c:pt idx="2">
                  <c:v>309.89999999999998</c:v>
                </c:pt>
                <c:pt idx="3">
                  <c:v>350.2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BE-4648-8138-761A61042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419808"/>
        <c:axId val="1319420288"/>
      </c:barChart>
      <c:lineChart>
        <c:grouping val="standard"/>
        <c:varyColors val="0"/>
        <c:ser>
          <c:idx val="1"/>
          <c:order val="1"/>
          <c:tx>
            <c:strRef>
              <c:f>Master_Data!$G$1</c:f>
              <c:strCache>
                <c:ptCount val="1"/>
                <c:pt idx="0">
                  <c:v>Revenue_YoY_Growth_Percent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Master_Data!$A$2:$A$5</c:f>
              <c:strCache>
                <c:ptCount val="4"/>
                <c:pt idx="0">
                  <c:v>Q4 FY25</c:v>
                </c:pt>
                <c:pt idx="1">
                  <c:v>Q1 FY26</c:v>
                </c:pt>
                <c:pt idx="2">
                  <c:v>Q2 FY26</c:v>
                </c:pt>
                <c:pt idx="3">
                  <c:v>Q3 FY26</c:v>
                </c:pt>
              </c:strCache>
            </c:strRef>
          </c:cat>
          <c:val>
            <c:numRef>
              <c:f>Master_Data!$G$2:$G$5</c:f>
              <c:numCache>
                <c:formatCode>0%</c:formatCode>
                <c:ptCount val="4"/>
                <c:pt idx="0">
                  <c:v>0.22</c:v>
                </c:pt>
                <c:pt idx="1">
                  <c:v>0.25</c:v>
                </c:pt>
                <c:pt idx="2">
                  <c:v>0.31</c:v>
                </c:pt>
                <c:pt idx="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2BE-4648-8138-761A610424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5860960"/>
        <c:axId val="1375858080"/>
      </c:lineChart>
      <c:catAx>
        <c:axId val="137586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858080"/>
        <c:crosses val="autoZero"/>
        <c:auto val="1"/>
        <c:lblAlgn val="ctr"/>
        <c:lblOffset val="100"/>
        <c:noMultiLvlLbl val="0"/>
      </c:catAx>
      <c:valAx>
        <c:axId val="13758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860960"/>
        <c:crosses val="autoZero"/>
        <c:crossBetween val="between"/>
      </c:valAx>
      <c:valAx>
        <c:axId val="131942028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9419808"/>
        <c:crosses val="max"/>
        <c:crossBetween val="between"/>
      </c:valAx>
      <c:catAx>
        <c:axId val="1319419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19420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Revenue vs ARR Growth Divergence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Master_Data!$D$1</c:f>
              <c:strCache>
                <c:ptCount val="1"/>
                <c:pt idx="0">
                  <c:v>ARR_YoY_Growth_Percent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Master_Data!$A$2:$A$5</c:f>
              <c:strCache>
                <c:ptCount val="4"/>
                <c:pt idx="0">
                  <c:v>Q4 FY25</c:v>
                </c:pt>
                <c:pt idx="1">
                  <c:v>Q1 FY26</c:v>
                </c:pt>
                <c:pt idx="2">
                  <c:v>Q2 FY26</c:v>
                </c:pt>
                <c:pt idx="3">
                  <c:v>Q3 FY26</c:v>
                </c:pt>
              </c:strCache>
            </c:strRef>
          </c:cat>
          <c:val>
            <c:numRef>
              <c:f>Master_Data!$D$2:$D$5</c:f>
              <c:numCache>
                <c:formatCode>0%</c:formatCode>
                <c:ptCount val="4"/>
                <c:pt idx="0">
                  <c:v>0.24</c:v>
                </c:pt>
                <c:pt idx="1">
                  <c:v>0.27</c:v>
                </c:pt>
                <c:pt idx="2">
                  <c:v>0.3</c:v>
                </c:pt>
                <c:pt idx="3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C7-4F5F-8772-E9B07AB493FA}"/>
            </c:ext>
          </c:extLst>
        </c:ser>
        <c:ser>
          <c:idx val="1"/>
          <c:order val="1"/>
          <c:tx>
            <c:strRef>
              <c:f>Master_Data!$G$1</c:f>
              <c:strCache>
                <c:ptCount val="1"/>
                <c:pt idx="0">
                  <c:v>Revenue_YoY_Growth_Percent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Master_Data!$A$2:$A$5</c:f>
              <c:strCache>
                <c:ptCount val="4"/>
                <c:pt idx="0">
                  <c:v>Q4 FY25</c:v>
                </c:pt>
                <c:pt idx="1">
                  <c:v>Q1 FY26</c:v>
                </c:pt>
                <c:pt idx="2">
                  <c:v>Q2 FY26</c:v>
                </c:pt>
                <c:pt idx="3">
                  <c:v>Q3 FY26</c:v>
                </c:pt>
              </c:strCache>
            </c:strRef>
          </c:cat>
          <c:val>
            <c:numRef>
              <c:f>Master_Data!$G$2:$G$5</c:f>
              <c:numCache>
                <c:formatCode>0%</c:formatCode>
                <c:ptCount val="4"/>
                <c:pt idx="0">
                  <c:v>0.22</c:v>
                </c:pt>
                <c:pt idx="1">
                  <c:v>0.25</c:v>
                </c:pt>
                <c:pt idx="2">
                  <c:v>0.31</c:v>
                </c:pt>
                <c:pt idx="3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C7-4F5F-8772-E9B07AB49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1524720"/>
        <c:axId val="1361526160"/>
      </c:lineChart>
      <c:catAx>
        <c:axId val="1361524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Period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526160"/>
        <c:crosses val="autoZero"/>
        <c:auto val="1"/>
        <c:lblAlgn val="ctr"/>
        <c:lblOffset val="100"/>
        <c:noMultiLvlLbl val="0"/>
      </c:catAx>
      <c:valAx>
        <c:axId val="1361526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Year-over-Year</a:t>
                </a:r>
                <a:r>
                  <a:rPr lang="en-US" baseline="0"/>
                  <a:t> Growth Rate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524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GAAP vs Non-GAAP Profitability Divergence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Master_Data!$L$1</c:f>
              <c:strCache>
                <c:ptCount val="1"/>
                <c:pt idx="0">
                  <c:v>GAAP_Net_Loss_Per_Share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Master_Data!$A$2:$A$5</c:f>
              <c:strCache>
                <c:ptCount val="4"/>
                <c:pt idx="0">
                  <c:v>Q4 FY25</c:v>
                </c:pt>
                <c:pt idx="1">
                  <c:v>Q1 FY26</c:v>
                </c:pt>
                <c:pt idx="2">
                  <c:v>Q2 FY26</c:v>
                </c:pt>
                <c:pt idx="3">
                  <c:v>Q3 FY26</c:v>
                </c:pt>
              </c:strCache>
            </c:strRef>
          </c:cat>
          <c:val>
            <c:numRef>
              <c:f>Master_Data!$L$2:$L$5</c:f>
              <c:numCache>
                <c:formatCode>General</c:formatCode>
                <c:ptCount val="4"/>
                <c:pt idx="0">
                  <c:v>-0.61</c:v>
                </c:pt>
                <c:pt idx="1">
                  <c:v>-0.98</c:v>
                </c:pt>
                <c:pt idx="2">
                  <c:v>-0.49</c:v>
                </c:pt>
                <c:pt idx="3">
                  <c:v>-0.32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17-4324-AB7F-E265F51F053A}"/>
            </c:ext>
          </c:extLst>
        </c:ser>
        <c:ser>
          <c:idx val="1"/>
          <c:order val="1"/>
          <c:tx>
            <c:strRef>
              <c:f>Master_Data!$M$1</c:f>
              <c:strCache>
                <c:ptCount val="1"/>
                <c:pt idx="0">
                  <c:v>Non_GAAP_Net_Income_Per_Share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Master_Data!$A$2:$A$5</c:f>
              <c:strCache>
                <c:ptCount val="4"/>
                <c:pt idx="0">
                  <c:v>Q4 FY25</c:v>
                </c:pt>
                <c:pt idx="1">
                  <c:v>Q1 FY26</c:v>
                </c:pt>
                <c:pt idx="2">
                  <c:v>Q2 FY26</c:v>
                </c:pt>
                <c:pt idx="3">
                  <c:v>Q3 FY26</c:v>
                </c:pt>
              </c:strCache>
            </c:strRef>
          </c:cat>
          <c:val>
            <c:numRef>
              <c:f>Master_Data!$M$2:$M$5</c:f>
              <c:numCache>
                <c:formatCode>General</c:formatCode>
                <c:ptCount val="4"/>
                <c:pt idx="0">
                  <c:v>0.08</c:v>
                </c:pt>
                <c:pt idx="1">
                  <c:v>0.06</c:v>
                </c:pt>
                <c:pt idx="2">
                  <c:v>0.1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17-4324-AB7F-E265F51F0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3478800"/>
        <c:axId val="1353475920"/>
      </c:barChart>
      <c:catAx>
        <c:axId val="1353478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Period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475920"/>
        <c:crosses val="autoZero"/>
        <c:auto val="1"/>
        <c:lblAlgn val="ctr"/>
        <c:lblOffset val="100"/>
        <c:noMultiLvlLbl val="0"/>
      </c:catAx>
      <c:valAx>
        <c:axId val="135347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Earnings Per Share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478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Free Cash Flow Inflection: Path to Sustainability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Master_Data!$N$1</c:f>
              <c:strCache>
                <c:ptCount val="1"/>
                <c:pt idx="0">
                  <c:v>Free_Cash_Flow_Millions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Master_Data!$A$2:$A$5</c:f>
              <c:strCache>
                <c:ptCount val="4"/>
                <c:pt idx="0">
                  <c:v>Q4 FY25</c:v>
                </c:pt>
                <c:pt idx="1">
                  <c:v>Q1 FY26</c:v>
                </c:pt>
                <c:pt idx="2">
                  <c:v>Q2 FY26</c:v>
                </c:pt>
                <c:pt idx="3">
                  <c:v>Q3 FY26</c:v>
                </c:pt>
              </c:strCache>
            </c:strRef>
          </c:cat>
          <c:val>
            <c:numRef>
              <c:f>Master_Data!$N$2:$N$5</c:f>
              <c:numCache>
                <c:formatCode>General</c:formatCode>
                <c:ptCount val="4"/>
                <c:pt idx="0">
                  <c:v>75.2</c:v>
                </c:pt>
                <c:pt idx="1">
                  <c:v>33.299999999999997</c:v>
                </c:pt>
                <c:pt idx="2">
                  <c:v>57.5</c:v>
                </c:pt>
                <c:pt idx="3">
                  <c:v>76.900000000000006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30-450C-AE18-50A2611E8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2440352"/>
        <c:axId val="1362435072"/>
      </c:barChart>
      <c:lineChart>
        <c:grouping val="standard"/>
        <c:varyColors val="0"/>
        <c:ser>
          <c:idx val="1"/>
          <c:order val="1"/>
          <c:tx>
            <c:strRef>
              <c:f>Master_Data!$O$1</c:f>
              <c:strCache>
                <c:ptCount val="1"/>
                <c:pt idx="0">
                  <c:v>FCF_Margin_Percent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Master_Data!$A$2:$A$5</c:f>
              <c:strCache>
                <c:ptCount val="4"/>
                <c:pt idx="0">
                  <c:v>Q4 FY25</c:v>
                </c:pt>
                <c:pt idx="1">
                  <c:v>Q1 FY26</c:v>
                </c:pt>
                <c:pt idx="2">
                  <c:v>Q2 FY26</c:v>
                </c:pt>
                <c:pt idx="3">
                  <c:v>Q3 FY26</c:v>
                </c:pt>
              </c:strCache>
            </c:strRef>
          </c:cat>
          <c:val>
            <c:numRef>
              <c:f>Master_Data!$O$2:$O$5</c:f>
              <c:numCache>
                <c:formatCode>0.00%</c:formatCode>
                <c:ptCount val="4"/>
                <c:pt idx="0">
                  <c:v>0.29099999999999998</c:v>
                </c:pt>
                <c:pt idx="1">
                  <c:v>0.12</c:v>
                </c:pt>
                <c:pt idx="2">
                  <c:v>0.186</c:v>
                </c:pt>
                <c:pt idx="3">
                  <c:v>0.219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30-450C-AE18-50A2611E8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0319024"/>
        <c:axId val="1362438912"/>
      </c:lineChart>
      <c:catAx>
        <c:axId val="1362440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Period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35072"/>
        <c:crosses val="autoZero"/>
        <c:auto val="1"/>
        <c:lblAlgn val="ctr"/>
        <c:lblOffset val="100"/>
        <c:noMultiLvlLbl val="0"/>
      </c:catAx>
      <c:valAx>
        <c:axId val="136243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Free Cash Flow (Millions 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2440352"/>
        <c:crosses val="autoZero"/>
        <c:crossBetween val="between"/>
      </c:valAx>
      <c:valAx>
        <c:axId val="1362438912"/>
        <c:scaling>
          <c:orientation val="minMax"/>
        </c:scaling>
        <c:delete val="0"/>
        <c:axPos val="r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19024"/>
        <c:crosses val="max"/>
        <c:crossBetween val="between"/>
      </c:valAx>
      <c:catAx>
        <c:axId val="1410319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24389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Master_Data!$E$1</c:f>
              <c:strCache>
                <c:ptCount val="1"/>
                <c:pt idx="0">
                  <c:v>Total_Revenue_Millions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Master_Data!$A$2:$A$5</c:f>
              <c:strCache>
                <c:ptCount val="4"/>
                <c:pt idx="0">
                  <c:v>Q4 FY25</c:v>
                </c:pt>
                <c:pt idx="1">
                  <c:v>Q1 FY26</c:v>
                </c:pt>
                <c:pt idx="2">
                  <c:v>Q2 FY26</c:v>
                </c:pt>
                <c:pt idx="3">
                  <c:v>Q3 FY26</c:v>
                </c:pt>
              </c:strCache>
            </c:strRef>
          </c:cat>
          <c:val>
            <c:numRef>
              <c:f>Master_Data!$E$2:$E$5</c:f>
              <c:numCache>
                <c:formatCode>General</c:formatCode>
                <c:ptCount val="4"/>
                <c:pt idx="0">
                  <c:v>258.10000000000002</c:v>
                </c:pt>
                <c:pt idx="1">
                  <c:v>278.5</c:v>
                </c:pt>
                <c:pt idx="2">
                  <c:v>309.89999999999998</c:v>
                </c:pt>
                <c:pt idx="3">
                  <c:v>350.2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FE-4C4B-864E-C87655218D7D}"/>
            </c:ext>
          </c:extLst>
        </c:ser>
        <c:ser>
          <c:idx val="1"/>
          <c:order val="1"/>
          <c:tx>
            <c:strRef>
              <c:f>Master_Data!$J$1</c:f>
              <c:strCache>
                <c:ptCount val="1"/>
                <c:pt idx="0">
                  <c:v>Total_OpEx_Millions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Master_Data!$A$2:$A$5</c:f>
              <c:strCache>
                <c:ptCount val="4"/>
                <c:pt idx="0">
                  <c:v>Q4 FY25</c:v>
                </c:pt>
                <c:pt idx="1">
                  <c:v>Q1 FY26</c:v>
                </c:pt>
                <c:pt idx="2">
                  <c:v>Q2 FY26</c:v>
                </c:pt>
                <c:pt idx="3">
                  <c:v>Q3 FY26</c:v>
                </c:pt>
              </c:strCache>
            </c:strRef>
          </c:cat>
          <c:val>
            <c:numRef>
              <c:f>Master_Data!$J$2:$J$5</c:f>
              <c:numCache>
                <c:formatCode>General</c:formatCode>
                <c:ptCount val="4"/>
                <c:pt idx="0">
                  <c:v>410</c:v>
                </c:pt>
                <c:pt idx="1">
                  <c:v>421.7</c:v>
                </c:pt>
                <c:pt idx="2">
                  <c:v>449.8</c:v>
                </c:pt>
                <c:pt idx="3">
                  <c:v>477.8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FE-4C4B-864E-C87655218D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22681888"/>
        <c:axId val="1361011696"/>
      </c:lineChart>
      <c:catAx>
        <c:axId val="13226818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Period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011696"/>
        <c:crosses val="autoZero"/>
        <c:auto val="1"/>
        <c:lblAlgn val="ctr"/>
        <c:lblOffset val="100"/>
        <c:noMultiLvlLbl val="0"/>
      </c:catAx>
      <c:valAx>
        <c:axId val="136101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Millions ($)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8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3080B3-C4AC-4BD0-916D-B2542D5686F9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88CBF9C-CA48-45E8-90C2-6F4F0A858E6D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3092D9A-DCB6-4153-8E0E-5387C6C6CEB2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06F924E-0239-4B2C-9F90-17284B7EB7E6}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CD9FA827-5241-4963-9D8A-61C191F8F16B}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8490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198A6F-C3D3-8864-6EA0-17323C1B2A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8490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8526A6-4109-D9C7-2F19-2A9F630A439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8490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DD4347-11F7-6627-4CD2-DE6D364788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8490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714AE-9528-9FBF-C828-403B29070EA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49138" cy="62733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928EC-FC4B-C03A-E1EF-A747CBED81E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"/>
  <sheetViews>
    <sheetView workbookViewId="0">
      <selection activeCell="C28" sqref="C28"/>
    </sheetView>
  </sheetViews>
  <sheetFormatPr defaultRowHeight="14.5" x14ac:dyDescent="0.35"/>
  <cols>
    <col min="2" max="2" width="13.4531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s="1">
        <v>45688</v>
      </c>
      <c r="C2">
        <v>1090</v>
      </c>
      <c r="D2" s="2">
        <v>0.24</v>
      </c>
      <c r="E2">
        <v>258.10000000000002</v>
      </c>
      <c r="F2">
        <v>243.7</v>
      </c>
      <c r="G2" s="2">
        <v>0.22</v>
      </c>
      <c r="H2" s="3">
        <v>0.76500000000000001</v>
      </c>
      <c r="I2" s="3">
        <v>0.78200000000000003</v>
      </c>
      <c r="J2">
        <v>410</v>
      </c>
      <c r="K2">
        <v>67.3</v>
      </c>
      <c r="L2">
        <v>-0.61</v>
      </c>
      <c r="M2">
        <v>0.08</v>
      </c>
      <c r="N2">
        <v>75.2</v>
      </c>
      <c r="O2" s="3">
        <v>0.29099999999999998</v>
      </c>
      <c r="P2">
        <v>2246</v>
      </c>
      <c r="Q2" s="2">
        <v>1.18</v>
      </c>
      <c r="R2">
        <v>892.3</v>
      </c>
      <c r="S2" t="s">
        <v>21</v>
      </c>
    </row>
    <row r="3" spans="1:20" x14ac:dyDescent="0.35">
      <c r="A3" t="s">
        <v>22</v>
      </c>
      <c r="B3" s="1">
        <v>45777</v>
      </c>
      <c r="C3">
        <v>1180</v>
      </c>
      <c r="D3" s="2">
        <v>0.27</v>
      </c>
      <c r="E3">
        <v>278.5</v>
      </c>
      <c r="F3" t="s">
        <v>23</v>
      </c>
      <c r="G3" s="2">
        <v>0.25</v>
      </c>
      <c r="H3" s="3">
        <v>0.77100000000000002</v>
      </c>
      <c r="I3" s="3">
        <v>0.79</v>
      </c>
      <c r="J3">
        <v>421.7</v>
      </c>
      <c r="K3">
        <v>72.400000000000006</v>
      </c>
      <c r="L3">
        <v>-0.98</v>
      </c>
      <c r="M3">
        <v>0.06</v>
      </c>
      <c r="N3">
        <v>33.299999999999997</v>
      </c>
      <c r="O3" s="3">
        <v>0.12</v>
      </c>
      <c r="P3">
        <v>2381</v>
      </c>
      <c r="Q3" s="2">
        <v>1.19</v>
      </c>
      <c r="R3">
        <v>1157</v>
      </c>
      <c r="S3" t="s">
        <v>24</v>
      </c>
    </row>
    <row r="4" spans="1:20" x14ac:dyDescent="0.35">
      <c r="A4" t="s">
        <v>25</v>
      </c>
      <c r="B4" s="1">
        <v>45869</v>
      </c>
      <c r="C4">
        <v>1250</v>
      </c>
      <c r="D4" s="2">
        <v>0.3</v>
      </c>
      <c r="E4">
        <v>309.89999999999998</v>
      </c>
      <c r="F4">
        <v>297</v>
      </c>
      <c r="G4" s="2">
        <v>0.31</v>
      </c>
      <c r="H4" s="3">
        <v>0.78800000000000003</v>
      </c>
      <c r="I4" s="3">
        <v>0.80600000000000005</v>
      </c>
      <c r="J4">
        <v>449.8</v>
      </c>
      <c r="K4">
        <v>78.099999999999994</v>
      </c>
      <c r="L4">
        <v>-0.49</v>
      </c>
      <c r="M4">
        <v>0.1</v>
      </c>
      <c r="N4">
        <v>57.5</v>
      </c>
      <c r="O4" s="3">
        <v>0.186</v>
      </c>
      <c r="P4">
        <v>2505</v>
      </c>
      <c r="Q4" s="2">
        <v>1.2</v>
      </c>
      <c r="R4">
        <v>1342</v>
      </c>
      <c r="S4" t="s">
        <v>24</v>
      </c>
    </row>
    <row r="5" spans="1:20" x14ac:dyDescent="0.35">
      <c r="A5" t="s">
        <v>26</v>
      </c>
      <c r="B5" s="1">
        <v>45961</v>
      </c>
      <c r="C5">
        <v>1350</v>
      </c>
      <c r="D5" s="2">
        <v>0.34</v>
      </c>
      <c r="E5">
        <v>350.2</v>
      </c>
      <c r="F5">
        <v>336.4</v>
      </c>
      <c r="G5" s="2">
        <v>0.48</v>
      </c>
      <c r="H5" s="3">
        <v>0.80500000000000005</v>
      </c>
      <c r="I5" s="3">
        <v>0.82799999999999996</v>
      </c>
      <c r="J5">
        <v>477.8</v>
      </c>
      <c r="K5">
        <v>82.5</v>
      </c>
      <c r="L5">
        <v>-0.32</v>
      </c>
      <c r="M5">
        <v>0.1</v>
      </c>
      <c r="N5">
        <v>76.900000000000006</v>
      </c>
      <c r="O5" s="3">
        <v>0.219</v>
      </c>
      <c r="P5">
        <v>2638</v>
      </c>
      <c r="Q5" s="2">
        <v>1.22</v>
      </c>
      <c r="R5">
        <v>1598</v>
      </c>
      <c r="T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3AB6-25A9-4A6A-BE2B-DDCB1CB7CEAD}">
  <dimension ref="A1:BP26"/>
  <sheetViews>
    <sheetView workbookViewId="0">
      <selection activeCell="G10" sqref="G10"/>
    </sheetView>
  </sheetViews>
  <sheetFormatPr defaultRowHeight="14.5" x14ac:dyDescent="0.35"/>
  <cols>
    <col min="1" max="1" width="30.08984375" customWidth="1"/>
    <col min="2" max="2" width="11.08984375" customWidth="1"/>
    <col min="3" max="3" width="13" customWidth="1"/>
    <col min="4" max="4" width="11.90625" customWidth="1"/>
    <col min="5" max="5" width="12.7265625" customWidth="1"/>
    <col min="6" max="6" width="27" bestFit="1" customWidth="1"/>
  </cols>
  <sheetData>
    <row r="1" spans="1:68" ht="18.5" x14ac:dyDescent="0.45">
      <c r="A1" s="11" t="s">
        <v>28</v>
      </c>
      <c r="B1" s="9"/>
      <c r="C1" s="9"/>
    </row>
    <row r="2" spans="1:68" x14ac:dyDescent="0.35">
      <c r="A2" s="7" t="s">
        <v>29</v>
      </c>
      <c r="B2" s="7" t="s">
        <v>30</v>
      </c>
      <c r="C2" s="7" t="s">
        <v>31</v>
      </c>
      <c r="D2" s="7" t="s">
        <v>32</v>
      </c>
      <c r="E2" s="7" t="s">
        <v>33</v>
      </c>
      <c r="F2" s="7" t="s">
        <v>34</v>
      </c>
      <c r="G2" s="7" t="s">
        <v>35</v>
      </c>
    </row>
    <row r="3" spans="1:68" x14ac:dyDescent="0.35">
      <c r="A3" s="6" t="s">
        <v>36</v>
      </c>
      <c r="B3" s="5">
        <v>1250</v>
      </c>
      <c r="C3" s="5">
        <v>1350</v>
      </c>
      <c r="D3" s="5">
        <f t="shared" ref="D3:D11" si="0">C3-B3</f>
        <v>100</v>
      </c>
      <c r="E3" s="4">
        <f>(D3/B3)</f>
        <v>0.08</v>
      </c>
      <c r="F3" s="6" t="s">
        <v>37</v>
      </c>
      <c r="G3" s="6" t="s">
        <v>38</v>
      </c>
    </row>
    <row r="4" spans="1:68" x14ac:dyDescent="0.35">
      <c r="A4" s="6" t="s">
        <v>39</v>
      </c>
      <c r="B4" s="5">
        <v>309.89999999999998</v>
      </c>
      <c r="C4" s="5">
        <v>350.2</v>
      </c>
      <c r="D4" s="5">
        <f t="shared" si="0"/>
        <v>40.300000000000011</v>
      </c>
      <c r="E4" s="4">
        <f t="shared" ref="E4:E8" si="1">(D4/B4)</f>
        <v>0.13004194901581159</v>
      </c>
      <c r="F4" s="6" t="s">
        <v>40</v>
      </c>
      <c r="G4" s="6" t="s">
        <v>41</v>
      </c>
    </row>
    <row r="5" spans="1:68" x14ac:dyDescent="0.35">
      <c r="A5" s="6" t="s">
        <v>42</v>
      </c>
      <c r="B5" s="5">
        <v>78.8</v>
      </c>
      <c r="C5" s="5">
        <v>80.5</v>
      </c>
      <c r="D5" s="5">
        <f t="shared" si="0"/>
        <v>1.7000000000000028</v>
      </c>
      <c r="E5" s="4">
        <f t="shared" si="1"/>
        <v>2.1573604060913742E-2</v>
      </c>
      <c r="F5" s="6" t="s">
        <v>43</v>
      </c>
      <c r="G5" s="6" t="s">
        <v>44</v>
      </c>
    </row>
    <row r="6" spans="1:68" x14ac:dyDescent="0.35">
      <c r="A6" s="6" t="s">
        <v>45</v>
      </c>
      <c r="B6" s="5">
        <v>80.599999999999994</v>
      </c>
      <c r="C6" s="5">
        <v>82.8</v>
      </c>
      <c r="D6" s="5">
        <f t="shared" si="0"/>
        <v>2.2000000000000028</v>
      </c>
      <c r="E6" s="4">
        <f t="shared" si="1"/>
        <v>2.7295285359801524E-2</v>
      </c>
      <c r="F6" s="6" t="s">
        <v>46</v>
      </c>
      <c r="G6" s="6" t="s">
        <v>47</v>
      </c>
    </row>
    <row r="7" spans="1:68" x14ac:dyDescent="0.35">
      <c r="A7" s="6" t="s">
        <v>48</v>
      </c>
      <c r="B7" s="5">
        <v>449.8</v>
      </c>
      <c r="C7" s="5">
        <v>477.8</v>
      </c>
      <c r="D7" s="5">
        <f t="shared" si="0"/>
        <v>28</v>
      </c>
      <c r="E7" s="4">
        <f t="shared" si="1"/>
        <v>6.2249888839484215E-2</v>
      </c>
      <c r="F7" s="6" t="s">
        <v>49</v>
      </c>
      <c r="G7" s="6" t="s">
        <v>50</v>
      </c>
    </row>
    <row r="8" spans="1:68" x14ac:dyDescent="0.35">
      <c r="A8" s="6" t="s">
        <v>51</v>
      </c>
      <c r="B8" s="5">
        <v>78.099999999999994</v>
      </c>
      <c r="C8" s="5">
        <v>82.5</v>
      </c>
      <c r="D8" s="5">
        <f t="shared" si="0"/>
        <v>4.4000000000000057</v>
      </c>
      <c r="E8" s="4">
        <f t="shared" si="1"/>
        <v>5.6338028169014162E-2</v>
      </c>
      <c r="F8" s="6" t="s">
        <v>52</v>
      </c>
      <c r="G8" s="6" t="s">
        <v>53</v>
      </c>
    </row>
    <row r="9" spans="1:68" x14ac:dyDescent="0.35">
      <c r="A9" s="6" t="s">
        <v>54</v>
      </c>
      <c r="B9" s="5">
        <v>57.5</v>
      </c>
      <c r="C9" s="5">
        <v>76.900000000000006</v>
      </c>
      <c r="D9" s="5">
        <f t="shared" si="0"/>
        <v>19.400000000000006</v>
      </c>
      <c r="E9" s="4">
        <f>(D9/B9)</f>
        <v>0.33739130434782616</v>
      </c>
      <c r="F9" s="6" t="s">
        <v>55</v>
      </c>
      <c r="G9" s="6" t="s">
        <v>56</v>
      </c>
    </row>
    <row r="10" spans="1:68" x14ac:dyDescent="0.35">
      <c r="A10" s="6" t="s">
        <v>57</v>
      </c>
      <c r="B10" s="5">
        <v>18.600000000000001</v>
      </c>
      <c r="C10" s="5">
        <v>21.9</v>
      </c>
      <c r="D10" s="5">
        <f t="shared" si="0"/>
        <v>3.2999999999999972</v>
      </c>
      <c r="E10" s="4">
        <f>(D10/B10)</f>
        <v>0.17741935483870952</v>
      </c>
      <c r="F10" s="6" t="s">
        <v>58</v>
      </c>
      <c r="G10" s="6" t="s">
        <v>322</v>
      </c>
    </row>
    <row r="11" spans="1:68" x14ac:dyDescent="0.35">
      <c r="A11" s="6" t="s">
        <v>59</v>
      </c>
      <c r="B11" s="5">
        <v>120</v>
      </c>
      <c r="C11" s="5">
        <v>122</v>
      </c>
      <c r="D11" s="5">
        <f t="shared" si="0"/>
        <v>2</v>
      </c>
      <c r="E11" s="4">
        <f>(D11/B11)</f>
        <v>1.6666666666666666E-2</v>
      </c>
      <c r="F11" s="6" t="s">
        <v>46</v>
      </c>
      <c r="G11" s="6" t="s">
        <v>60</v>
      </c>
    </row>
    <row r="12" spans="1:68" x14ac:dyDescent="0.3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</row>
    <row r="13" spans="1:68" ht="18.5" x14ac:dyDescent="0.45">
      <c r="A13" s="10" t="s">
        <v>61</v>
      </c>
      <c r="B13" s="9"/>
      <c r="C13" s="9"/>
    </row>
    <row r="14" spans="1:68" x14ac:dyDescent="0.35">
      <c r="A14" s="7" t="s">
        <v>29</v>
      </c>
      <c r="B14" s="7" t="s">
        <v>62</v>
      </c>
      <c r="C14" s="7" t="s">
        <v>31</v>
      </c>
      <c r="D14" s="7" t="s">
        <v>32</v>
      </c>
      <c r="E14" s="7" t="s">
        <v>33</v>
      </c>
      <c r="F14" s="7" t="s">
        <v>34</v>
      </c>
      <c r="G14" s="7" t="s">
        <v>35</v>
      </c>
      <c r="H14" s="7"/>
    </row>
    <row r="15" spans="1:68" x14ac:dyDescent="0.35">
      <c r="A15" t="s">
        <v>39</v>
      </c>
      <c r="B15">
        <v>236.5</v>
      </c>
      <c r="C15">
        <v>350.2</v>
      </c>
      <c r="D15">
        <f t="shared" ref="D15:D21" si="2">C15-B15</f>
        <v>113.69999999999999</v>
      </c>
      <c r="E15" s="4">
        <f t="shared" ref="E15:E21" si="3">(D15/B15)</f>
        <v>0.48076109936575046</v>
      </c>
      <c r="F15" t="s">
        <v>63</v>
      </c>
      <c r="G15" t="s">
        <v>64</v>
      </c>
    </row>
    <row r="16" spans="1:68" x14ac:dyDescent="0.35">
      <c r="A16" t="s">
        <v>36</v>
      </c>
      <c r="B16">
        <v>1010</v>
      </c>
      <c r="C16">
        <v>1350</v>
      </c>
      <c r="D16">
        <f t="shared" si="2"/>
        <v>340</v>
      </c>
      <c r="E16" s="4">
        <f t="shared" si="3"/>
        <v>0.33663366336633666</v>
      </c>
      <c r="F16" t="s">
        <v>65</v>
      </c>
      <c r="G16" t="s">
        <v>66</v>
      </c>
    </row>
    <row r="17" spans="1:7" x14ac:dyDescent="0.35">
      <c r="A17" t="s">
        <v>42</v>
      </c>
      <c r="B17">
        <v>76.2</v>
      </c>
      <c r="C17">
        <v>80.5</v>
      </c>
      <c r="D17">
        <f t="shared" si="2"/>
        <v>4.2999999999999972</v>
      </c>
      <c r="E17" s="4">
        <f t="shared" si="3"/>
        <v>5.6430446194225679E-2</v>
      </c>
      <c r="F17" t="s">
        <v>67</v>
      </c>
      <c r="G17" t="s">
        <v>68</v>
      </c>
    </row>
    <row r="18" spans="1:7" x14ac:dyDescent="0.35">
      <c r="A18" t="s">
        <v>69</v>
      </c>
      <c r="B18">
        <v>343.4</v>
      </c>
      <c r="C18">
        <v>477.8</v>
      </c>
      <c r="D18">
        <f t="shared" si="2"/>
        <v>134.40000000000003</v>
      </c>
      <c r="E18" s="4">
        <f t="shared" si="3"/>
        <v>0.39138031450203858</v>
      </c>
      <c r="F18" t="s">
        <v>70</v>
      </c>
      <c r="G18" t="s">
        <v>71</v>
      </c>
    </row>
    <row r="19" spans="1:7" x14ac:dyDescent="0.35">
      <c r="A19" t="s">
        <v>51</v>
      </c>
      <c r="B19">
        <v>67.2</v>
      </c>
      <c r="C19">
        <v>82.5</v>
      </c>
      <c r="D19">
        <f t="shared" si="2"/>
        <v>15.299999999999997</v>
      </c>
      <c r="E19" s="4">
        <f t="shared" si="3"/>
        <v>0.22767857142857137</v>
      </c>
      <c r="F19" t="s">
        <v>72</v>
      </c>
      <c r="G19" t="s">
        <v>73</v>
      </c>
    </row>
    <row r="20" spans="1:7" x14ac:dyDescent="0.35">
      <c r="A20" t="s">
        <v>54</v>
      </c>
      <c r="B20">
        <v>18.100000000000001</v>
      </c>
      <c r="C20">
        <v>76.900000000000006</v>
      </c>
      <c r="D20">
        <f t="shared" si="2"/>
        <v>58.800000000000004</v>
      </c>
      <c r="E20" s="4">
        <f t="shared" si="3"/>
        <v>3.2486187845303869</v>
      </c>
      <c r="F20" t="s">
        <v>74</v>
      </c>
      <c r="G20" t="s">
        <v>75</v>
      </c>
    </row>
    <row r="21" spans="1:7" x14ac:dyDescent="0.35">
      <c r="A21" t="s">
        <v>59</v>
      </c>
      <c r="B21">
        <v>118</v>
      </c>
      <c r="C21">
        <v>122</v>
      </c>
      <c r="D21">
        <f t="shared" si="2"/>
        <v>4</v>
      </c>
      <c r="E21" s="4">
        <f t="shared" si="3"/>
        <v>3.3898305084745763E-2</v>
      </c>
      <c r="F21" t="s">
        <v>76</v>
      </c>
      <c r="G21" t="s">
        <v>77</v>
      </c>
    </row>
    <row r="23" spans="1:7" ht="18.5" x14ac:dyDescent="0.45">
      <c r="A23" s="11" t="s">
        <v>78</v>
      </c>
    </row>
    <row r="24" spans="1:7" x14ac:dyDescent="0.35">
      <c r="A24" t="s">
        <v>79</v>
      </c>
    </row>
    <row r="25" spans="1:7" x14ac:dyDescent="0.35">
      <c r="A25" t="s">
        <v>80</v>
      </c>
    </row>
    <row r="26" spans="1:7" x14ac:dyDescent="0.35">
      <c r="A26" t="s">
        <v>81</v>
      </c>
    </row>
  </sheetData>
  <conditionalFormatting sqref="E3:E11">
    <cfRule type="expression" dxfId="0" priority="1">
      <formula>ABS(E3)&gt;0.1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1A18BD-5915-4006-848F-F088AFC820FC}">
  <dimension ref="A1:F138"/>
  <sheetViews>
    <sheetView topLeftCell="A16" workbookViewId="0">
      <selection activeCell="B3" sqref="B3"/>
    </sheetView>
  </sheetViews>
  <sheetFormatPr defaultRowHeight="14.5" x14ac:dyDescent="0.35"/>
  <cols>
    <col min="1" max="1" width="46.54296875" bestFit="1" customWidth="1"/>
    <col min="2" max="2" width="73" bestFit="1" customWidth="1"/>
    <col min="3" max="3" width="49.453125" bestFit="1" customWidth="1"/>
    <col min="4" max="4" width="65.7265625" bestFit="1" customWidth="1"/>
  </cols>
  <sheetData>
    <row r="1" spans="1:6" x14ac:dyDescent="0.35">
      <c r="A1" t="s">
        <v>87</v>
      </c>
    </row>
    <row r="2" spans="1:6" x14ac:dyDescent="0.35">
      <c r="A2" t="s">
        <v>88</v>
      </c>
      <c r="B2" t="s">
        <v>89</v>
      </c>
      <c r="C2" t="s">
        <v>90</v>
      </c>
      <c r="D2" t="s">
        <v>91</v>
      </c>
      <c r="E2" t="s">
        <v>19</v>
      </c>
    </row>
    <row r="3" spans="1:6" x14ac:dyDescent="0.35">
      <c r="A3" t="s">
        <v>36</v>
      </c>
      <c r="B3" t="s">
        <v>330</v>
      </c>
      <c r="C3" t="s">
        <v>331</v>
      </c>
      <c r="D3" s="2">
        <v>1</v>
      </c>
      <c r="E3" t="s">
        <v>92</v>
      </c>
    </row>
    <row r="4" spans="1:6" x14ac:dyDescent="0.35">
      <c r="A4" t="s">
        <v>39</v>
      </c>
      <c r="B4" t="s">
        <v>330</v>
      </c>
      <c r="C4" t="s">
        <v>331</v>
      </c>
      <c r="D4" s="2">
        <v>1</v>
      </c>
      <c r="E4" t="s">
        <v>93</v>
      </c>
    </row>
    <row r="5" spans="1:6" x14ac:dyDescent="0.35">
      <c r="A5" t="s">
        <v>42</v>
      </c>
      <c r="B5" t="s">
        <v>330</v>
      </c>
      <c r="C5" t="s">
        <v>331</v>
      </c>
      <c r="D5" s="2">
        <v>1</v>
      </c>
      <c r="E5" t="s">
        <v>94</v>
      </c>
    </row>
    <row r="6" spans="1:6" x14ac:dyDescent="0.35">
      <c r="A6" t="s">
        <v>45</v>
      </c>
      <c r="B6" t="s">
        <v>330</v>
      </c>
      <c r="C6" t="s">
        <v>331</v>
      </c>
      <c r="D6" s="2">
        <v>1</v>
      </c>
      <c r="E6" t="s">
        <v>95</v>
      </c>
    </row>
    <row r="7" spans="1:6" x14ac:dyDescent="0.35">
      <c r="A7" t="s">
        <v>96</v>
      </c>
      <c r="B7" t="s">
        <v>330</v>
      </c>
      <c r="C7" t="s">
        <v>331</v>
      </c>
      <c r="D7" s="2">
        <v>1</v>
      </c>
      <c r="E7" t="s">
        <v>97</v>
      </c>
    </row>
    <row r="8" spans="1:6" x14ac:dyDescent="0.35">
      <c r="A8" t="s">
        <v>51</v>
      </c>
      <c r="B8" t="s">
        <v>330</v>
      </c>
      <c r="C8" t="s">
        <v>331</v>
      </c>
      <c r="D8" s="2">
        <v>1</v>
      </c>
      <c r="E8" t="s">
        <v>98</v>
      </c>
    </row>
    <row r="9" spans="1:6" x14ac:dyDescent="0.35">
      <c r="A9" t="s">
        <v>54</v>
      </c>
      <c r="B9" t="s">
        <v>330</v>
      </c>
      <c r="C9" t="s">
        <v>331</v>
      </c>
      <c r="D9" s="2">
        <v>1</v>
      </c>
      <c r="E9" t="s">
        <v>99</v>
      </c>
    </row>
    <row r="10" spans="1:6" x14ac:dyDescent="0.35">
      <c r="A10" t="s">
        <v>57</v>
      </c>
      <c r="B10" t="s">
        <v>100</v>
      </c>
      <c r="C10" t="s">
        <v>331</v>
      </c>
      <c r="D10" s="2">
        <v>1</v>
      </c>
      <c r="E10" t="s">
        <v>101</v>
      </c>
    </row>
    <row r="11" spans="1:6" x14ac:dyDescent="0.35">
      <c r="A11" t="s">
        <v>59</v>
      </c>
      <c r="B11" t="s">
        <v>330</v>
      </c>
      <c r="C11" t="s">
        <v>331</v>
      </c>
      <c r="D11" s="2">
        <v>1</v>
      </c>
      <c r="E11" t="s">
        <v>102</v>
      </c>
    </row>
    <row r="12" spans="1:6" x14ac:dyDescent="0.35">
      <c r="A12" t="s">
        <v>103</v>
      </c>
      <c r="B12" t="s">
        <v>100</v>
      </c>
      <c r="C12" t="s">
        <v>332</v>
      </c>
      <c r="D12" s="2">
        <v>0.95</v>
      </c>
      <c r="E12" t="s">
        <v>333</v>
      </c>
    </row>
    <row r="13" spans="1:6" x14ac:dyDescent="0.35">
      <c r="A13" t="s">
        <v>104</v>
      </c>
      <c r="B13" t="s">
        <v>100</v>
      </c>
      <c r="C13" t="s">
        <v>332</v>
      </c>
      <c r="D13" s="2">
        <v>0.95</v>
      </c>
      <c r="E13" t="s">
        <v>105</v>
      </c>
    </row>
    <row r="14" spans="1:6" x14ac:dyDescent="0.35">
      <c r="A14" t="s">
        <v>106</v>
      </c>
      <c r="B14" t="s">
        <v>107</v>
      </c>
      <c r="C14" t="s">
        <v>62</v>
      </c>
      <c r="D14" s="2">
        <v>0.95</v>
      </c>
      <c r="E14" t="s">
        <v>108</v>
      </c>
    </row>
    <row r="15" spans="1:6" x14ac:dyDescent="0.35">
      <c r="A15" t="s">
        <v>109</v>
      </c>
      <c r="B15" t="s">
        <v>334</v>
      </c>
      <c r="C15" t="s">
        <v>331</v>
      </c>
      <c r="D15" s="2">
        <v>0.9</v>
      </c>
      <c r="E15" t="s">
        <v>110</v>
      </c>
      <c r="F15">
        <v>0</v>
      </c>
    </row>
    <row r="16" spans="1:6" x14ac:dyDescent="0.35">
      <c r="A16" t="s">
        <v>111</v>
      </c>
      <c r="B16" t="s">
        <v>330</v>
      </c>
      <c r="C16" t="s">
        <v>331</v>
      </c>
      <c r="D16" s="2">
        <v>1</v>
      </c>
      <c r="E16" t="s">
        <v>112</v>
      </c>
    </row>
    <row r="17" spans="1:5" x14ac:dyDescent="0.35">
      <c r="A17" t="s">
        <v>113</v>
      </c>
      <c r="B17" t="s">
        <v>330</v>
      </c>
      <c r="C17" t="s">
        <v>331</v>
      </c>
      <c r="D17" s="2">
        <v>1</v>
      </c>
      <c r="E17" t="s">
        <v>112</v>
      </c>
    </row>
    <row r="18" spans="1:5" x14ac:dyDescent="0.35">
      <c r="A18" t="s">
        <v>114</v>
      </c>
      <c r="B18" t="s">
        <v>330</v>
      </c>
      <c r="C18" t="s">
        <v>331</v>
      </c>
      <c r="D18" s="2">
        <v>1</v>
      </c>
      <c r="E18" t="s">
        <v>112</v>
      </c>
    </row>
    <row r="19" spans="1:5" x14ac:dyDescent="0.35">
      <c r="A19" t="s">
        <v>115</v>
      </c>
      <c r="B19" t="s">
        <v>330</v>
      </c>
      <c r="C19" t="s">
        <v>331</v>
      </c>
      <c r="D19" s="2">
        <v>1</v>
      </c>
      <c r="E19" t="s">
        <v>116</v>
      </c>
    </row>
    <row r="20" spans="1:5" x14ac:dyDescent="0.35">
      <c r="A20" t="s">
        <v>117</v>
      </c>
      <c r="B20" t="s">
        <v>330</v>
      </c>
      <c r="C20" t="s">
        <v>331</v>
      </c>
      <c r="D20" s="2">
        <v>1</v>
      </c>
      <c r="E20" t="s">
        <v>118</v>
      </c>
    </row>
    <row r="21" spans="1:5" x14ac:dyDescent="0.35">
      <c r="A21" t="s">
        <v>119</v>
      </c>
      <c r="B21" t="s">
        <v>330</v>
      </c>
      <c r="C21" t="s">
        <v>331</v>
      </c>
      <c r="D21" s="2">
        <v>1</v>
      </c>
      <c r="E21" t="s">
        <v>120</v>
      </c>
    </row>
    <row r="22" spans="1:5" x14ac:dyDescent="0.35">
      <c r="A22" t="s">
        <v>121</v>
      </c>
      <c r="B22" t="s">
        <v>330</v>
      </c>
      <c r="C22" t="s">
        <v>331</v>
      </c>
      <c r="D22" s="2">
        <v>1</v>
      </c>
      <c r="E22" t="s">
        <v>122</v>
      </c>
    </row>
    <row r="25" spans="1:5" x14ac:dyDescent="0.35">
      <c r="A25" t="s">
        <v>123</v>
      </c>
    </row>
    <row r="26" spans="1:5" x14ac:dyDescent="0.35">
      <c r="A26" t="s">
        <v>124</v>
      </c>
    </row>
    <row r="27" spans="1:5" x14ac:dyDescent="0.35">
      <c r="A27" t="s">
        <v>29</v>
      </c>
      <c r="B27" t="s">
        <v>125</v>
      </c>
      <c r="C27" t="s">
        <v>126</v>
      </c>
      <c r="D27" t="s">
        <v>19</v>
      </c>
    </row>
    <row r="28" spans="1:5" x14ac:dyDescent="0.35">
      <c r="A28" t="s">
        <v>127</v>
      </c>
      <c r="B28" t="s">
        <v>128</v>
      </c>
      <c r="C28" t="s">
        <v>129</v>
      </c>
      <c r="D28" t="s">
        <v>130</v>
      </c>
    </row>
    <row r="29" spans="1:5" x14ac:dyDescent="0.35">
      <c r="A29" t="s">
        <v>131</v>
      </c>
      <c r="B29" t="s">
        <v>132</v>
      </c>
      <c r="C29" t="s">
        <v>133</v>
      </c>
      <c r="D29" t="s">
        <v>134</v>
      </c>
    </row>
    <row r="30" spans="1:5" x14ac:dyDescent="0.35">
      <c r="A30" t="s">
        <v>135</v>
      </c>
      <c r="B30" t="s">
        <v>136</v>
      </c>
      <c r="C30" t="s">
        <v>137</v>
      </c>
      <c r="D30" t="s">
        <v>138</v>
      </c>
    </row>
    <row r="31" spans="1:5" x14ac:dyDescent="0.35">
      <c r="A31" t="s">
        <v>139</v>
      </c>
      <c r="B31" t="s">
        <v>140</v>
      </c>
      <c r="C31" t="s">
        <v>140</v>
      </c>
      <c r="D31" t="s">
        <v>141</v>
      </c>
    </row>
    <row r="32" spans="1:5" x14ac:dyDescent="0.35">
      <c r="A32" t="s">
        <v>142</v>
      </c>
      <c r="B32" t="s">
        <v>143</v>
      </c>
      <c r="C32" t="s">
        <v>143</v>
      </c>
      <c r="D32" t="s">
        <v>144</v>
      </c>
    </row>
    <row r="33" spans="1:4" x14ac:dyDescent="0.35">
      <c r="A33" t="s">
        <v>145</v>
      </c>
      <c r="B33" t="s">
        <v>146</v>
      </c>
      <c r="C33" t="s">
        <v>146</v>
      </c>
      <c r="D33" t="s">
        <v>147</v>
      </c>
    </row>
    <row r="34" spans="1:4" x14ac:dyDescent="0.35">
      <c r="A34" t="s">
        <v>57</v>
      </c>
      <c r="B34" t="s">
        <v>148</v>
      </c>
      <c r="C34" t="s">
        <v>148</v>
      </c>
      <c r="D34" t="s">
        <v>149</v>
      </c>
    </row>
    <row r="35" spans="1:4" x14ac:dyDescent="0.35">
      <c r="A35" t="s">
        <v>150</v>
      </c>
      <c r="B35" t="s">
        <v>151</v>
      </c>
      <c r="C35" t="s">
        <v>152</v>
      </c>
      <c r="D35" t="s">
        <v>153</v>
      </c>
    </row>
    <row r="36" spans="1:4" x14ac:dyDescent="0.35">
      <c r="A36" t="s">
        <v>154</v>
      </c>
      <c r="B36" t="s">
        <v>155</v>
      </c>
      <c r="C36" t="s">
        <v>155</v>
      </c>
      <c r="D36" t="s">
        <v>156</v>
      </c>
    </row>
    <row r="37" spans="1:4" x14ac:dyDescent="0.35">
      <c r="A37" t="s">
        <v>157</v>
      </c>
      <c r="B37" t="s">
        <v>158</v>
      </c>
      <c r="C37" t="s">
        <v>158</v>
      </c>
      <c r="D37" t="s">
        <v>159</v>
      </c>
    </row>
    <row r="38" spans="1:4" x14ac:dyDescent="0.35">
      <c r="A38" t="s">
        <v>160</v>
      </c>
      <c r="B38" t="s">
        <v>161</v>
      </c>
      <c r="C38" t="s">
        <v>161</v>
      </c>
      <c r="D38" t="s">
        <v>162</v>
      </c>
    </row>
    <row r="40" spans="1:4" x14ac:dyDescent="0.35">
      <c r="A40" t="s">
        <v>335</v>
      </c>
    </row>
    <row r="41" spans="1:4" x14ac:dyDescent="0.35">
      <c r="A41" t="s">
        <v>29</v>
      </c>
      <c r="B41" t="s">
        <v>163</v>
      </c>
      <c r="C41" t="s">
        <v>164</v>
      </c>
      <c r="D41" t="s">
        <v>91</v>
      </c>
    </row>
    <row r="42" spans="1:4" x14ac:dyDescent="0.35">
      <c r="A42" t="s">
        <v>165</v>
      </c>
      <c r="B42" t="s">
        <v>166</v>
      </c>
      <c r="C42" t="s">
        <v>167</v>
      </c>
      <c r="D42" t="s">
        <v>168</v>
      </c>
    </row>
    <row r="43" spans="1:4" x14ac:dyDescent="0.35">
      <c r="A43" t="s">
        <v>169</v>
      </c>
      <c r="B43" t="s">
        <v>166</v>
      </c>
      <c r="C43" t="s">
        <v>170</v>
      </c>
      <c r="D43" t="s">
        <v>168</v>
      </c>
    </row>
    <row r="44" spans="1:4" x14ac:dyDescent="0.35">
      <c r="A44" t="s">
        <v>171</v>
      </c>
      <c r="B44" t="s">
        <v>336</v>
      </c>
      <c r="C44" t="s">
        <v>337</v>
      </c>
      <c r="D44" t="s">
        <v>172</v>
      </c>
    </row>
    <row r="45" spans="1:4" x14ac:dyDescent="0.35">
      <c r="A45" t="s">
        <v>173</v>
      </c>
      <c r="B45" t="s">
        <v>338</v>
      </c>
      <c r="C45" t="s">
        <v>174</v>
      </c>
      <c r="D45" t="s">
        <v>175</v>
      </c>
    </row>
    <row r="46" spans="1:4" x14ac:dyDescent="0.35">
      <c r="A46" t="s">
        <v>176</v>
      </c>
      <c r="B46" t="s">
        <v>177</v>
      </c>
      <c r="C46" t="s">
        <v>178</v>
      </c>
      <c r="D46" t="s">
        <v>179</v>
      </c>
    </row>
    <row r="48" spans="1:4" x14ac:dyDescent="0.35">
      <c r="A48" t="s">
        <v>180</v>
      </c>
    </row>
    <row r="49" spans="1:5" x14ac:dyDescent="0.35">
      <c r="A49" t="s">
        <v>181</v>
      </c>
    </row>
    <row r="50" spans="1:5" x14ac:dyDescent="0.35">
      <c r="A50" t="s">
        <v>182</v>
      </c>
      <c r="B50" t="s">
        <v>194</v>
      </c>
      <c r="C50" t="s">
        <v>206</v>
      </c>
      <c r="D50" t="s">
        <v>214</v>
      </c>
      <c r="E50" t="s">
        <v>219</v>
      </c>
    </row>
    <row r="51" spans="1:5" x14ac:dyDescent="0.35">
      <c r="A51" t="s">
        <v>183</v>
      </c>
      <c r="B51" t="s">
        <v>195</v>
      </c>
      <c r="C51" t="s">
        <v>323</v>
      </c>
      <c r="D51" t="s">
        <v>215</v>
      </c>
      <c r="E51" t="s">
        <v>220</v>
      </c>
    </row>
    <row r="52" spans="1:5" x14ac:dyDescent="0.35">
      <c r="A52" t="s">
        <v>184</v>
      </c>
      <c r="B52" t="s">
        <v>196</v>
      </c>
      <c r="C52" t="s">
        <v>324</v>
      </c>
      <c r="D52" t="s">
        <v>215</v>
      </c>
      <c r="E52" t="s">
        <v>221</v>
      </c>
    </row>
    <row r="53" spans="1:5" x14ac:dyDescent="0.35">
      <c r="A53" t="s">
        <v>185</v>
      </c>
      <c r="B53" t="s">
        <v>197</v>
      </c>
      <c r="C53" t="s">
        <v>325</v>
      </c>
      <c r="D53" t="s">
        <v>216</v>
      </c>
      <c r="E53" t="s">
        <v>222</v>
      </c>
    </row>
    <row r="54" spans="1:5" x14ac:dyDescent="0.35">
      <c r="A54" t="s">
        <v>186</v>
      </c>
      <c r="B54" t="s">
        <v>198</v>
      </c>
      <c r="C54" t="s">
        <v>207</v>
      </c>
      <c r="D54" t="s">
        <v>217</v>
      </c>
      <c r="E54" t="s">
        <v>223</v>
      </c>
    </row>
    <row r="55" spans="1:5" x14ac:dyDescent="0.35">
      <c r="A55" t="s">
        <v>187</v>
      </c>
      <c r="B55" t="s">
        <v>199</v>
      </c>
      <c r="C55" t="s">
        <v>208</v>
      </c>
      <c r="D55" t="s">
        <v>216</v>
      </c>
      <c r="E55" t="s">
        <v>224</v>
      </c>
    </row>
    <row r="56" spans="1:5" x14ac:dyDescent="0.35">
      <c r="A56" t="s">
        <v>188</v>
      </c>
      <c r="B56" t="s">
        <v>200</v>
      </c>
      <c r="C56" t="s">
        <v>209</v>
      </c>
      <c r="D56" t="s">
        <v>215</v>
      </c>
      <c r="E56" t="s">
        <v>225</v>
      </c>
    </row>
    <row r="57" spans="1:5" x14ac:dyDescent="0.35">
      <c r="A57" t="s">
        <v>189</v>
      </c>
      <c r="B57" t="s">
        <v>201</v>
      </c>
      <c r="C57" t="s">
        <v>210</v>
      </c>
      <c r="D57" t="s">
        <v>215</v>
      </c>
      <c r="E57" t="s">
        <v>226</v>
      </c>
    </row>
    <row r="58" spans="1:5" x14ac:dyDescent="0.35">
      <c r="A58" t="s">
        <v>190</v>
      </c>
      <c r="B58" t="s">
        <v>202</v>
      </c>
      <c r="C58" t="s">
        <v>211</v>
      </c>
      <c r="D58" t="s">
        <v>216</v>
      </c>
      <c r="E58" t="s">
        <v>227</v>
      </c>
    </row>
    <row r="59" spans="1:5" x14ac:dyDescent="0.35">
      <c r="A59" t="s">
        <v>191</v>
      </c>
      <c r="B59" t="s">
        <v>203</v>
      </c>
      <c r="C59" t="s">
        <v>326</v>
      </c>
      <c r="D59" t="s">
        <v>216</v>
      </c>
      <c r="E59" t="s">
        <v>228</v>
      </c>
    </row>
    <row r="60" spans="1:5" x14ac:dyDescent="0.35">
      <c r="A60" t="s">
        <v>192</v>
      </c>
      <c r="B60" t="s">
        <v>204</v>
      </c>
      <c r="C60" t="s">
        <v>212</v>
      </c>
      <c r="D60" t="s">
        <v>218</v>
      </c>
      <c r="E60" t="s">
        <v>229</v>
      </c>
    </row>
    <row r="61" spans="1:5" x14ac:dyDescent="0.35">
      <c r="A61" t="s">
        <v>193</v>
      </c>
      <c r="B61" t="s">
        <v>205</v>
      </c>
      <c r="C61" t="s">
        <v>213</v>
      </c>
      <c r="D61" t="s">
        <v>216</v>
      </c>
      <c r="E61" t="s">
        <v>230</v>
      </c>
    </row>
    <row r="63" spans="1:5" x14ac:dyDescent="0.35">
      <c r="A63" s="12" t="s">
        <v>231</v>
      </c>
      <c r="B63" s="12"/>
      <c r="C63" s="12"/>
      <c r="D63" s="12"/>
    </row>
    <row r="64" spans="1:5" x14ac:dyDescent="0.35">
      <c r="A64" s="12" t="s">
        <v>29</v>
      </c>
      <c r="B64" s="12" t="s">
        <v>232</v>
      </c>
      <c r="C64" s="12" t="s">
        <v>233</v>
      </c>
      <c r="D64" s="12" t="s">
        <v>234</v>
      </c>
    </row>
    <row r="65" spans="1:4" x14ac:dyDescent="0.35">
      <c r="A65" s="12" t="s">
        <v>339</v>
      </c>
      <c r="B65" s="12">
        <v>1</v>
      </c>
      <c r="C65" s="12" t="s">
        <v>235</v>
      </c>
      <c r="D65" s="12" t="s">
        <v>236</v>
      </c>
    </row>
    <row r="66" spans="1:4" x14ac:dyDescent="0.35">
      <c r="A66" s="12" t="s">
        <v>237</v>
      </c>
      <c r="B66" s="12">
        <v>1</v>
      </c>
      <c r="C66" s="12" t="s">
        <v>238</v>
      </c>
      <c r="D66" s="12" t="s">
        <v>239</v>
      </c>
    </row>
    <row r="67" spans="1:4" x14ac:dyDescent="0.35">
      <c r="A67" s="12" t="s">
        <v>240</v>
      </c>
      <c r="B67" s="12">
        <v>1</v>
      </c>
      <c r="C67" s="12" t="s">
        <v>241</v>
      </c>
      <c r="D67" s="12" t="s">
        <v>242</v>
      </c>
    </row>
    <row r="68" spans="1:4" x14ac:dyDescent="0.35">
      <c r="A68" s="12" t="s">
        <v>243</v>
      </c>
      <c r="B68" s="12">
        <v>1</v>
      </c>
      <c r="C68" s="12" t="s">
        <v>244</v>
      </c>
      <c r="D68" s="12" t="s">
        <v>245</v>
      </c>
    </row>
    <row r="69" spans="1:4" x14ac:dyDescent="0.35">
      <c r="A69" s="12" t="s">
        <v>246</v>
      </c>
      <c r="B69" s="12">
        <v>1</v>
      </c>
      <c r="C69" s="12" t="s">
        <v>247</v>
      </c>
      <c r="D69" s="12" t="s">
        <v>248</v>
      </c>
    </row>
    <row r="70" spans="1:4" x14ac:dyDescent="0.35">
      <c r="A70" s="12" t="s">
        <v>249</v>
      </c>
      <c r="B70" s="12">
        <v>0.95</v>
      </c>
      <c r="C70" s="12" t="s">
        <v>250</v>
      </c>
      <c r="D70" s="12" t="s">
        <v>251</v>
      </c>
    </row>
    <row r="71" spans="1:4" x14ac:dyDescent="0.35">
      <c r="A71" s="12" t="s">
        <v>252</v>
      </c>
      <c r="B71" s="12">
        <v>0.95</v>
      </c>
      <c r="C71" s="12" t="s">
        <v>253</v>
      </c>
      <c r="D71" s="12" t="s">
        <v>254</v>
      </c>
    </row>
    <row r="72" spans="1:4" x14ac:dyDescent="0.35">
      <c r="A72" s="12" t="s">
        <v>255</v>
      </c>
      <c r="B72" s="12">
        <v>0.9</v>
      </c>
      <c r="C72" s="12" t="s">
        <v>256</v>
      </c>
      <c r="D72" s="12" t="s">
        <v>257</v>
      </c>
    </row>
    <row r="73" spans="1:4" x14ac:dyDescent="0.35">
      <c r="A73" s="12" t="s">
        <v>258</v>
      </c>
      <c r="B73" s="12">
        <v>1</v>
      </c>
      <c r="C73" s="12" t="s">
        <v>259</v>
      </c>
      <c r="D73" s="12" t="s">
        <v>327</v>
      </c>
    </row>
    <row r="74" spans="1:4" x14ac:dyDescent="0.35">
      <c r="A74" s="12" t="s">
        <v>109</v>
      </c>
      <c r="B74" s="12">
        <v>0.85</v>
      </c>
      <c r="C74" s="12" t="s">
        <v>260</v>
      </c>
      <c r="D74" s="12" t="s">
        <v>261</v>
      </c>
    </row>
    <row r="75" spans="1:4" x14ac:dyDescent="0.35">
      <c r="A75" s="12" t="s">
        <v>262</v>
      </c>
      <c r="B75" s="12">
        <v>0.85</v>
      </c>
      <c r="C75" s="12" t="s">
        <v>263</v>
      </c>
      <c r="D75" s="12" t="s">
        <v>264</v>
      </c>
    </row>
    <row r="76" spans="1:4" x14ac:dyDescent="0.35">
      <c r="A76" s="12" t="s">
        <v>265</v>
      </c>
      <c r="B76" s="12">
        <v>0.9</v>
      </c>
      <c r="C76" s="12" t="s">
        <v>266</v>
      </c>
      <c r="D76" s="12" t="s">
        <v>267</v>
      </c>
    </row>
    <row r="77" spans="1:4" x14ac:dyDescent="0.35">
      <c r="A77" s="12" t="s">
        <v>268</v>
      </c>
      <c r="B77" s="12">
        <v>0.7</v>
      </c>
      <c r="C77" s="12" t="s">
        <v>269</v>
      </c>
      <c r="D77" s="12" t="s">
        <v>270</v>
      </c>
    </row>
    <row r="78" spans="1:4" x14ac:dyDescent="0.35">
      <c r="A78" s="12" t="s">
        <v>271</v>
      </c>
      <c r="B78" s="12">
        <v>0.75</v>
      </c>
      <c r="C78" s="12" t="s">
        <v>272</v>
      </c>
      <c r="D78" s="12" t="s">
        <v>273</v>
      </c>
    </row>
    <row r="80" spans="1:4" x14ac:dyDescent="0.35">
      <c r="A80" t="s">
        <v>274</v>
      </c>
    </row>
    <row r="81" spans="1:1" x14ac:dyDescent="0.35">
      <c r="A81" t="s">
        <v>275</v>
      </c>
    </row>
    <row r="82" spans="1:1" x14ac:dyDescent="0.35">
      <c r="A82" t="s">
        <v>328</v>
      </c>
    </row>
    <row r="83" spans="1:1" x14ac:dyDescent="0.35">
      <c r="A83" t="s">
        <v>276</v>
      </c>
    </row>
    <row r="84" spans="1:1" x14ac:dyDescent="0.35">
      <c r="A84" t="s">
        <v>277</v>
      </c>
    </row>
    <row r="86" spans="1:1" x14ac:dyDescent="0.35">
      <c r="A86" t="s">
        <v>278</v>
      </c>
    </row>
    <row r="87" spans="1:1" x14ac:dyDescent="0.35">
      <c r="A87" t="s">
        <v>279</v>
      </c>
    </row>
    <row r="88" spans="1:1" x14ac:dyDescent="0.35">
      <c r="A88" t="s">
        <v>280</v>
      </c>
    </row>
    <row r="89" spans="1:1" x14ac:dyDescent="0.35">
      <c r="A89" t="s">
        <v>281</v>
      </c>
    </row>
    <row r="90" spans="1:1" x14ac:dyDescent="0.35">
      <c r="A90" t="s">
        <v>282</v>
      </c>
    </row>
    <row r="92" spans="1:1" x14ac:dyDescent="0.35">
      <c r="A92" t="s">
        <v>283</v>
      </c>
    </row>
    <row r="93" spans="1:1" x14ac:dyDescent="0.35">
      <c r="A93" t="s">
        <v>284</v>
      </c>
    </row>
    <row r="94" spans="1:1" x14ac:dyDescent="0.35">
      <c r="A94" t="s">
        <v>285</v>
      </c>
    </row>
    <row r="95" spans="1:1" x14ac:dyDescent="0.35">
      <c r="A95" t="s">
        <v>286</v>
      </c>
    </row>
    <row r="96" spans="1:1" x14ac:dyDescent="0.35">
      <c r="A96" t="s">
        <v>287</v>
      </c>
    </row>
    <row r="98" spans="1:1" x14ac:dyDescent="0.35">
      <c r="A98" t="s">
        <v>288</v>
      </c>
    </row>
    <row r="99" spans="1:1" x14ac:dyDescent="0.35">
      <c r="A99" t="s">
        <v>289</v>
      </c>
    </row>
    <row r="100" spans="1:1" x14ac:dyDescent="0.35">
      <c r="A100" t="s">
        <v>290</v>
      </c>
    </row>
    <row r="101" spans="1:1" x14ac:dyDescent="0.35">
      <c r="A101" t="s">
        <v>291</v>
      </c>
    </row>
    <row r="102" spans="1:1" x14ac:dyDescent="0.35">
      <c r="A102" t="s">
        <v>292</v>
      </c>
    </row>
    <row r="104" spans="1:1" x14ac:dyDescent="0.35">
      <c r="A104" t="s">
        <v>293</v>
      </c>
    </row>
    <row r="105" spans="1:1" x14ac:dyDescent="0.35">
      <c r="A105" t="s">
        <v>294</v>
      </c>
    </row>
    <row r="106" spans="1:1" x14ac:dyDescent="0.35">
      <c r="A106" t="s">
        <v>295</v>
      </c>
    </row>
    <row r="107" spans="1:1" x14ac:dyDescent="0.35">
      <c r="A107" t="s">
        <v>296</v>
      </c>
    </row>
    <row r="108" spans="1:1" x14ac:dyDescent="0.35">
      <c r="A108" t="s">
        <v>297</v>
      </c>
    </row>
    <row r="110" spans="1:1" x14ac:dyDescent="0.35">
      <c r="A110" t="s">
        <v>298</v>
      </c>
    </row>
    <row r="111" spans="1:1" x14ac:dyDescent="0.35">
      <c r="A111" t="s">
        <v>299</v>
      </c>
    </row>
    <row r="112" spans="1:1" x14ac:dyDescent="0.35">
      <c r="A112" t="s">
        <v>300</v>
      </c>
    </row>
    <row r="113" spans="1:1" x14ac:dyDescent="0.35">
      <c r="A113" t="s">
        <v>301</v>
      </c>
    </row>
    <row r="114" spans="1:1" x14ac:dyDescent="0.35">
      <c r="A114" t="s">
        <v>302</v>
      </c>
    </row>
    <row r="116" spans="1:1" x14ac:dyDescent="0.35">
      <c r="A116" t="s">
        <v>303</v>
      </c>
    </row>
    <row r="117" spans="1:1" x14ac:dyDescent="0.35">
      <c r="A117" t="s">
        <v>329</v>
      </c>
    </row>
    <row r="118" spans="1:1" x14ac:dyDescent="0.35">
      <c r="A118" t="s">
        <v>304</v>
      </c>
    </row>
    <row r="119" spans="1:1" x14ac:dyDescent="0.35">
      <c r="A119" t="s">
        <v>305</v>
      </c>
    </row>
    <row r="120" spans="1:1" x14ac:dyDescent="0.35">
      <c r="A120" t="s">
        <v>306</v>
      </c>
    </row>
    <row r="122" spans="1:1" x14ac:dyDescent="0.35">
      <c r="A122" t="s">
        <v>307</v>
      </c>
    </row>
    <row r="123" spans="1:1" x14ac:dyDescent="0.35">
      <c r="A123" t="s">
        <v>308</v>
      </c>
    </row>
    <row r="124" spans="1:1" x14ac:dyDescent="0.35">
      <c r="A124" t="s">
        <v>309</v>
      </c>
    </row>
    <row r="125" spans="1:1" x14ac:dyDescent="0.35">
      <c r="A125" t="s">
        <v>310</v>
      </c>
    </row>
    <row r="126" spans="1:1" x14ac:dyDescent="0.35">
      <c r="A126" t="s">
        <v>311</v>
      </c>
    </row>
    <row r="128" spans="1:1" x14ac:dyDescent="0.35">
      <c r="A128" t="s">
        <v>312</v>
      </c>
    </row>
    <row r="129" spans="1:1" x14ac:dyDescent="0.35">
      <c r="A129" t="s">
        <v>313</v>
      </c>
    </row>
    <row r="130" spans="1:1" x14ac:dyDescent="0.35">
      <c r="A130" t="s">
        <v>314</v>
      </c>
    </row>
    <row r="131" spans="1:1" x14ac:dyDescent="0.35">
      <c r="A131" t="s">
        <v>315</v>
      </c>
    </row>
    <row r="132" spans="1:1" x14ac:dyDescent="0.35">
      <c r="A132" t="s">
        <v>316</v>
      </c>
    </row>
    <row r="134" spans="1:1" x14ac:dyDescent="0.35">
      <c r="A134" t="s">
        <v>317</v>
      </c>
    </row>
    <row r="135" spans="1:1" x14ac:dyDescent="0.35">
      <c r="A135" t="s">
        <v>340</v>
      </c>
    </row>
    <row r="136" spans="1:1" x14ac:dyDescent="0.35">
      <c r="A136" t="s">
        <v>318</v>
      </c>
    </row>
    <row r="137" spans="1:1" x14ac:dyDescent="0.35">
      <c r="A137" t="s">
        <v>319</v>
      </c>
    </row>
    <row r="138" spans="1:1" x14ac:dyDescent="0.35">
      <c r="A138" t="s">
        <v>320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7BDBB-DEA3-48EE-B805-C3B640E076D0}">
  <dimension ref="A1:A6"/>
  <sheetViews>
    <sheetView tabSelected="1" workbookViewId="0"/>
  </sheetViews>
  <sheetFormatPr defaultRowHeight="14.5" x14ac:dyDescent="0.35"/>
  <sheetData>
    <row r="1" spans="1:1" x14ac:dyDescent="0.35">
      <c r="A1" t="s">
        <v>321</v>
      </c>
    </row>
    <row r="2" spans="1:1" x14ac:dyDescent="0.35">
      <c r="A2" t="s">
        <v>82</v>
      </c>
    </row>
    <row r="3" spans="1:1" x14ac:dyDescent="0.35">
      <c r="A3" t="s">
        <v>83</v>
      </c>
    </row>
    <row r="4" spans="1:1" x14ac:dyDescent="0.35">
      <c r="A4" t="s">
        <v>84</v>
      </c>
    </row>
    <row r="5" spans="1:1" x14ac:dyDescent="0.35">
      <c r="A5" t="s">
        <v>85</v>
      </c>
    </row>
    <row r="6" spans="1:1" x14ac:dyDescent="0.35">
      <c r="A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5</vt:i4>
      </vt:variant>
    </vt:vector>
  </HeadingPairs>
  <TitlesOfParts>
    <vt:vector size="9" baseType="lpstr">
      <vt:lpstr>Master_Data</vt:lpstr>
      <vt:lpstr>Variance_Analysis</vt:lpstr>
      <vt:lpstr>Assumptions</vt:lpstr>
      <vt:lpstr>Charts</vt:lpstr>
      <vt:lpstr>Chart1_Revenue</vt:lpstr>
      <vt:lpstr>Chart2_ArrVsRev</vt:lpstr>
      <vt:lpstr>Chart3_Gaap_NonGaap</vt:lpstr>
      <vt:lpstr>Chart4_FCF</vt:lpstr>
      <vt:lpstr>Chart5_OpEx_Lever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Taneja</dc:creator>
  <cp:lastModifiedBy>Taneja, Yash</cp:lastModifiedBy>
  <dcterms:created xsi:type="dcterms:W3CDTF">2015-06-05T18:17:20Z</dcterms:created>
  <dcterms:modified xsi:type="dcterms:W3CDTF">2025-12-24T01:03:59Z</dcterms:modified>
</cp:coreProperties>
</file>